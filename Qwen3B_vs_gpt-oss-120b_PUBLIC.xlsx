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keaways" sheetId="1" state="visible" r:id="rId3"/>
    <sheet name="Dashboard" sheetId="2" state="visible" r:id="rId4"/>
    <sheet name="Stages" sheetId="3" state="visible" r:id="rId5"/>
    <sheet name="Evidence" sheetId="4" state="visible" r:id="rId6"/>
    <sheet name="T1 Code" sheetId="5" state="visible" r:id="rId7"/>
    <sheet name="T2 RAG" sheetId="6" state="visible" r:id="rId8"/>
    <sheet name="T3 JSON" sheetId="7" state="visible" r:id="rId9"/>
    <sheet name="Speed" sheetId="8" state="visible" r:id="rId10"/>
    <sheet name="Method &amp; Limit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<sst xmlns="http://schemas.openxmlformats.org/spreadsheetml/2006/main" count="525" uniqueCount="395">
  <si>
    <t xml:space="preserve">Qwen2.5-Coder 3B (local, 8GB laptop) vs gpt-oss-120b (Groq): combined results</t>
  </si>
  <si>
    <t xml:space="preserve">Pilot test, not a benchmark. Blue = typed from transcripts, black = formulas. Open the Dashboard tab for charts.</t>
  </si>
  <si>
    <t xml:space="preserve">Headline number</t>
  </si>
  <si>
    <t xml:space="preserve">Value</t>
  </si>
  <si>
    <t xml:space="preserve">Evidence</t>
  </si>
  <si>
    <t xml:space="preserve">JSON: gpt-oss-120b fields correct</t>
  </si>
  <si>
    <t xml:space="preserve">40 of 40 fields, 10 of 10 messages.</t>
  </si>
  <si>
    <t xml:space="preserve">JSON: Qwen 3B fields correct (first runs)</t>
  </si>
  <si>
    <t xml:space="preserve">37 of 40 fields, 8 of 10 messages.</t>
  </si>
  <si>
    <t xml:space="preserve">JSON: Qwen answers that parse as raw JSON</t>
  </si>
  <si>
    <t xml:space="preserve">All 10 came wrapped in a code fence. Correct after stripping.</t>
  </si>
  <si>
    <t xml:space="preserve">Document Q&amp;A: Qwen correct when the document had the answer</t>
  </si>
  <si>
    <t xml:space="preserve">14 of 16 across two runs. Q3 and Q7 flipped between runs.</t>
  </si>
  <si>
    <t xml:space="preserve">Document Q&amp;A: Qwen made up an answer when there was none</t>
  </si>
  <si>
    <t xml:space="preserve">3 of 4 probes, including two different fake phone numbers.</t>
  </si>
  <si>
    <t xml:space="preserve">Document Q&amp;A: gpt-oss-120b made up an answer when there was none</t>
  </si>
  <si>
    <t xml:space="preserve">1 of 2 probes (n is tiny). Said 'India only' with nothing to back it.</t>
  </si>
  <si>
    <t xml:space="preserve">Agent tool vs plain Ollama (same model)</t>
  </si>
  <si>
    <t xml:space="preserve">0.5 vs 10.09 tok/s, and no usable code inside the agent tool.</t>
  </si>
  <si>
    <t xml:space="preserve">Qwen speed lost as context grew</t>
  </si>
  <si>
    <t xml:space="preserve">10.09 to 6.53 tok/s over 9 prompts, context 47 to 3,257 tokens.</t>
  </si>
  <si>
    <t xml:space="preserve">JSON answer time ratio, Qwen / gpt-oss</t>
  </si>
  <si>
    <t xml:space="preserve">About 6.0 s vs 0.44 s. Groq figure is from 9 of 10 messages.</t>
  </si>
  <si>
    <t xml:space="preserve">Code: clean-run pass rate</t>
  </si>
  <si>
    <t xml:space="preserve">10 of 10. Textbook tasks, so little separation.</t>
  </si>
  <si>
    <t xml:space="preserve">count_vowels at default temp, answer key leaked</t>
  </si>
  <si>
    <t xml:space="preserve">1 of 2. The failure was a confident hallucination.</t>
  </si>
  <si>
    <t xml:space="preserve">count_vowels at temp 0.2, clean prompt</t>
  </si>
  <si>
    <t xml:space="preserve">4 of 4. Consistent with lower temperature helping; not a controlled test.</t>
  </si>
  <si>
    <t xml:space="preserve">What I learned as an AI engineer</t>
  </si>
  <si>
    <t xml:space="preserve">1. I evaluated the whole system, not just the model. The same 3B model went from 10 to 0.5 tokens/sec inside an agent tool and returned no usable code.</t>
  </si>
  <si>
    <t xml:space="preserve">2. I treat model output as untrusted input. 0 of 10 Qwen answers parsed as-is because of code fences. Strip, parse and validate against a schema before any code uses it.</t>
  </si>
  <si>
    <t xml:space="preserve">3. I test the 'I don't know' path on purpose. Both models invented answers when the document was silent, so every eval needs 'answer not in the document' cases.</t>
  </si>
  <si>
    <t xml:space="preserve">4. A bigger model did not remove guessing. gpt-oss-120b stated 'we ship only within India' with nothing to back it. Fluent and wrong is harder for a user to catch.</t>
  </si>
  <si>
    <t xml:space="preserve">5. I log every setting. I changed temperature between stages and leaked an answer key into some prompts, which skewed my own results until I caught it.</t>
  </si>
  <si>
    <t xml:space="preserve">6. I test the language my users actually write. Tamil in English letters broke the 3B, and code-mixed text is common in Indian customer messages.</t>
  </si>
  <si>
    <t xml:space="preserve">7. Context has a cost on small local models: about 35% slower over 9 prompts. Reset context between tasks.</t>
  </si>
  <si>
    <t xml:space="preserve">Dashboard: results by stage</t>
  </si>
  <si>
    <t xml:space="preserve">Charts read the tables on the left, which pull from the detail tabs.</t>
  </si>
  <si>
    <t xml:space="preserve">A. JSON extraction (10 messages)</t>
  </si>
  <si>
    <t xml:space="preserve">Metric</t>
  </si>
  <si>
    <t xml:space="preserve">Qwen 3B</t>
  </si>
  <si>
    <t xml:space="preserve">gpt-oss-120b</t>
  </si>
  <si>
    <t xml:space="preserve">Messages fully correct</t>
  </si>
  <si>
    <t xml:space="preserve">Fields correct</t>
  </si>
  <si>
    <t xml:space="preserve">Output parses as raw JSON</t>
  </si>
  <si>
    <t xml:space="preserve">B. Document Q&amp;A</t>
  </si>
  <si>
    <t xml:space="preserve">Measure</t>
  </si>
  <si>
    <t xml:space="preserve">Rate</t>
  </si>
  <si>
    <t xml:space="preserve">Qwen: correct when the document had the answer</t>
  </si>
  <si>
    <t xml:space="preserve">Qwen: made up an answer when it had none</t>
  </si>
  <si>
    <t xml:space="preserve">gpt-oss-120b: made up an answer when it had none</t>
  </si>
  <si>
    <t xml:space="preserve">C. Qwen speed as the chat grew (T1 session)</t>
  </si>
  <si>
    <t xml:space="preserve">Prompt #</t>
  </si>
  <si>
    <t xml:space="preserve">Eval rate (tok/s)</t>
  </si>
  <si>
    <t xml:space="preserve">D. Same 3B model, different setup</t>
  </si>
  <si>
    <t xml:space="preserve">Setup</t>
  </si>
  <si>
    <t xml:space="preserve">Speed (tok/s)</t>
  </si>
  <si>
    <t xml:space="preserve">Plain Ollama</t>
  </si>
  <si>
    <t xml:space="preserve">Agent tool (OpenCode)</t>
  </si>
  <si>
    <t xml:space="preserve">E. JSON answer time (s)</t>
  </si>
  <si>
    <t xml:space="preserve">Model</t>
  </si>
  <si>
    <t xml:space="preserve">Seconds</t>
  </si>
  <si>
    <t xml:space="preserve">Qwen 3B (local)</t>
  </si>
  <si>
    <t xml:space="preserve">gpt-oss-120b (Groq)</t>
  </si>
  <si>
    <t xml:space="preserve">F. Code tests pass rate (Qwen)</t>
  </si>
  <si>
    <t xml:space="preserve">Condition</t>
  </si>
  <si>
    <t xml:space="preserve">Pass rate</t>
  </si>
  <si>
    <t xml:space="preserve">Clean prompts, 10 tests</t>
  </si>
  <si>
    <t xml:space="preserve">count_vowels, default temp, answer key in prompt</t>
  </si>
  <si>
    <t xml:space="preserve">count_vowels, temp 0.2, clean prompt</t>
  </si>
  <si>
    <t xml:space="preserve">Stages: what was tested, in order, and what it showed</t>
  </si>
  <si>
    <t xml:space="preserve">Stage</t>
  </si>
  <si>
    <t xml:space="preserve">What was tested</t>
  </si>
  <si>
    <t xml:space="preserve">Model(s)</t>
  </si>
  <si>
    <t xml:space="preserve">Result</t>
  </si>
  <si>
    <t xml:space="preserve">Engineering takeaway</t>
  </si>
  <si>
    <t xml:space="preserve">Harness check: palindrome prompt in an agent tool vs plain Ollama</t>
  </si>
  <si>
    <t xml:space="preserve">Agent tool: raw tool-call JSON, no code, 0.5 tok/s. Plain Ollama: correct code, 10.09 tok/s (about 20x).</t>
  </si>
  <si>
    <t xml:space="preserve">Evaluate the whole system, not just the model. The wrapper changed the outcome.</t>
  </si>
  <si>
    <t xml:space="preserve">Code tests (10 textbook tasks)</t>
  </si>
  <si>
    <t xml:space="preserve">10/10 clean passes. count_vowels: 1 of 2 at default temp with the answer key leaked, 4 of 4 at temp 0.2 clean.</t>
  </si>
  <si>
    <t xml:space="preserve">Textbook tasks don't separate models. Settings and prompt hygiene change consistency, so log them per run.</t>
  </si>
  <si>
    <t xml:space="preserve">Document Q&amp;A, runs 1 and 2 (10 questions)</t>
  </si>
  <si>
    <t xml:space="preserve">Answerable: 14/16 correct. Unanswerable: invented an answer 3 of 4 times (two different fake phone numbers).</t>
  </si>
  <si>
    <t xml:space="preserve">Grounded answers are fine when the answer exists. With no refusal path, it guesses.</t>
  </si>
  <si>
    <t xml:space="preserve">Document Q&amp;A, trap questions only</t>
  </si>
  <si>
    <t xml:space="preserve">Phone number: correct refusal. Shipping abroad: stated 'India only' as fact (1 of 2 invented).</t>
  </si>
  <si>
    <t xml:space="preserve">Bigger did not remove guessing. It made the guess more convincing.</t>
  </si>
  <si>
    <t xml:space="preserve">Guardrail check: template + temp 0.2 on Q9</t>
  </si>
  <si>
    <t xml:space="preserve">Replied NOT IN DOCUMENT (1 run).</t>
  </si>
  <si>
    <t xml:space="preserve">Promising but not conclusive: one run, and two settings changed at once.</t>
  </si>
  <si>
    <t xml:space="preserve">JSON extraction (10 messy messages)</t>
  </si>
  <si>
    <t xml:space="preserve">Qwen 3B and gpt-oss-120b</t>
  </si>
  <si>
    <t xml:space="preserve">gpt-oss: 10/10 (40/40 fields). Qwen: 8/10 (37/40), 0/10 parse as raw JSON (code fences). Tamil-in-English-letters message failed on Qwen only.</t>
  </si>
  <si>
    <t xml:space="preserve">Never parse model output unvalidated. Code-mixed Indian-language text is a real failure mode for small models.</t>
  </si>
  <si>
    <t xml:space="preserve">Speed</t>
  </si>
  <si>
    <t xml:space="preserve">Qwen slowed 35% over 9 prompts as context grew. JSON answers: about 6.0 s (Qwen) vs 0.44 s (Groq), roughly 13x.</t>
  </si>
  <si>
    <t xml:space="preserve">Manage context on small local models. Latency is a product decision, not just a model one.</t>
  </si>
  <si>
    <t xml:space="preserve">Evidence: verbatim excerpts from my test logs</t>
  </si>
  <si>
    <t xml:space="preserve">Copied from the saved transcripts; JSON whitespace condensed where noted. Screenshots were not taken, so the logs are the record.</t>
  </si>
  <si>
    <t xml:space="preserve">#</t>
  </si>
  <si>
    <t xml:space="preserve">Prompt / question</t>
  </si>
  <si>
    <t xml:space="preserve">Model and setting</t>
  </si>
  <si>
    <t xml:space="preserve">Verbatim output (excerpt)</t>
  </si>
  <si>
    <t xml:space="preserve">Why it matters</t>
  </si>
  <si>
    <t xml:space="preserve">1 Harness</t>
  </si>
  <si>
    <t xml:space="preserve">write a python function is_palindrome(s) that ignores case and non-alphanumeric characters.</t>
  </si>
  <si>
    <t xml:space="preserve">Qwen 3B in OpenCode agent tool</t>
  </si>
  <si>
    <t xml:space="preserve">{"name": "is_palindrome", "arguments": {"s": "A man, a plan, a canal, Panama!"}}  (1m 12s, 0.5 tok/s)</t>
  </si>
  <si>
    <t xml:space="preserve">Raw tool-call blob, no code. Plain Ollama gave correct code at 10.09 tok/s.</t>
  </si>
  <si>
    <t xml:space="preserve">3 Document Q&amp;A</t>
  </si>
  <si>
    <t xml:space="preserve">What is your support phone number?</t>
  </si>
  <si>
    <t xml:space="preserve">Qwen 3B, run 1, default temp</t>
  </si>
  <si>
    <t xml:space="preserve">The support phone number for Nila Coffee Co. is +91 1234567890.</t>
  </si>
  <si>
    <t xml:space="preserve">The document lists only an email.</t>
  </si>
  <si>
    <t xml:space="preserve">Qwen 3B, run 2, default temp</t>
  </si>
  <si>
    <t xml:space="preserve">The support phone number is +91 9876543210.</t>
  </si>
  <si>
    <t xml:space="preserve">A different invented number from run 1, so it is guessing.</t>
  </si>
  <si>
    <t xml:space="preserve">Do you ship internationally?</t>
  </si>
  <si>
    <t xml:space="preserve">Yes, we ship internationally.</t>
  </si>
  <si>
    <t xml:space="preserve">Not in the document.</t>
  </si>
  <si>
    <t xml:space="preserve">I placed an order worth Rs 500. Is shipping free?</t>
  </si>
  <si>
    <t xml:space="preserve">Yes, since your order is worth Rs 500 or more, shipping is free.</t>
  </si>
  <si>
    <t xml:space="preserve">Document: free only above Rs 699. Run 1 got this right.</t>
  </si>
  <si>
    <t xml:space="preserve">My order has already shipped. Can I cancel it?</t>
  </si>
  <si>
    <t xml:space="preserve">Yes, you can cancel your order before it ships. Once shipped, the order cannot be cancelled.</t>
  </si>
  <si>
    <t xml:space="preserve">Contradicts itself. Run 1 got this right.</t>
  </si>
  <si>
    <t xml:space="preserve">4 Trap question</t>
  </si>
  <si>
    <t xml:space="preserve">gpt-oss-120b on Groq, no template</t>
  </si>
  <si>
    <t xml:space="preserve">We currently ship only within India.  [its reasoning: "Likely they don't ship internationally or it's not covered."]</t>
  </si>
  <si>
    <t xml:space="preserve">The policy says nothing about this. The model guessed, then stated it as fact.</t>
  </si>
  <si>
    <t xml:space="preserve">2 Code</t>
  </si>
  <si>
    <t xml:space="preserve">Fix count_vowels so it counts uppercase vowels too (answer key in the prompt)</t>
  </si>
  <si>
    <t xml:space="preserve">The characters 'A', 'e', and 'A' are considered vowels because they are in the string "aeiou".  (for the word "Apple")</t>
  </si>
  <si>
    <t xml:space="preserve">Confident hallucination: 'Apple' has one A, and 'A' is not in "aeiou". Run 1 was correct.</t>
  </si>
  <si>
    <t xml:space="preserve">6 JSON</t>
  </si>
  <si>
    <t xml:space="preserve">Anna, NC8890 innum varala, 12 days aachu. - Vignesh</t>
  </si>
  <si>
    <t xml:space="preserve">{"customer_name": "Anna", "order_id": "NC8890", "issue_type": "delay", "amount_inr": 12}</t>
  </si>
  <si>
    <t xml:space="preserve">Took a greeting as the name and the day count as money.</t>
  </si>
  <si>
    <t xml:space="preserve">gpt-oss-120b on Groq</t>
  </si>
  <si>
    <t xml:space="preserve">{ "customer_name": "Vignesh", "order_id": "NC8890", "issue_type": "delay", "amount_inr": null }</t>
  </si>
  <si>
    <t xml:space="preserve">Correct on the Tamil-in-English-letters message.</t>
  </si>
  <si>
    <t xml:space="preserve">Mohammed Irfan here. NC5533 is delayed, I want my money back, Rs 450</t>
  </si>
  <si>
    <t xml:space="preserve">Qwen 3B, run 1</t>
  </si>
  <si>
    <t xml:space="preserve">"customer_name": "SMohammed Irfan"</t>
  </si>
  <si>
    <t xml:space="preserve">Stray letter in the name. Run 2 was correct.</t>
  </si>
  <si>
    <t xml:space="preserve">Any of the 10 messages</t>
  </si>
  <si>
    <t xml:space="preserve">Every answer was wrapped in a ```json code fence.</t>
  </si>
  <si>
    <t xml:space="preserve">json.loads() fails until you strip the fence: 0 of 10 parse as-is.</t>
  </si>
  <si>
    <t xml:space="preserve">Stage 2: code tests on Qwen2.5-Coder 3B (Ollama, 8GB laptop)</t>
  </si>
  <si>
    <t xml:space="preserve">Clean run = column B prompt only. Rerun = Expected text was pasted into the prompt (answer key leaked), so it is weaker evidence.</t>
  </si>
  <si>
    <t xml:space="preserve">Test #</t>
  </si>
  <si>
    <t xml:space="preserve">Test</t>
  </si>
  <si>
    <t xml:space="preserve">Clean run</t>
  </si>
  <si>
    <t xml:space="preserve">Total time (s)</t>
  </si>
  <si>
    <t xml:space="preserve">Prompt tokens at start</t>
  </si>
  <si>
    <t xml:space="preserve">Rerun (answer key in prompt)</t>
  </si>
  <si>
    <t xml:space="preserve">Notes</t>
  </si>
  <si>
    <t xml:space="preserve">Palindrome</t>
  </si>
  <si>
    <t xml:space="preserve">Pass</t>
  </si>
  <si>
    <t xml:space="preserve">Run twice in plain Ollama, both correct. Inside OpenCode the same prompt failed (see Speed tab).</t>
  </si>
  <si>
    <t xml:space="preserve">Second largest unique</t>
  </si>
  <si>
    <t xml:space="preserve">Handles the None case. Rerun's first attempt was interrupted by the user, second was correct.</t>
  </si>
  <si>
    <t xml:space="preserve">count_vowels fix</t>
  </si>
  <si>
    <t xml:space="preserve">Pass, Fail</t>
  </si>
  <si>
    <t xml:space="preserve">Clean rerun at temp 0.2: 4 of 4 correct (9.4, 10.9, 22.0, 9.9 s). Earlier at default temp with the answer key in the prompt: 1 pass, 1 fail (claimed 'Apple' has 3 vowels). Run 3 had an extra 'whats the output?' and a wrong explanation, but correct code. Prompt had doubled quotes.</t>
  </si>
  <si>
    <t xml:space="preserve">SQL top 3 customers</t>
  </si>
  <si>
    <t xml:space="preserve">JOIN, GROUP BY, ORDER BY SUM DESC, LIMIT 3 all present.</t>
  </si>
  <si>
    <t xml:space="preserve">Email regex</t>
  </si>
  <si>
    <t xml:space="preserve">Clean run used [A-Z|a-z] (matches a literal pipe, a flaw). Rerun's pattern was clean, so quality varies run to run.</t>
  </si>
  <si>
    <t xml:space="preserve">Binary search</t>
  </si>
  <si>
    <t xml:space="preserve">Correct, states O(log n). Overflow comment is irrelevant in Python.</t>
  </si>
  <si>
    <t xml:space="preserve">List comprehension</t>
  </si>
  <si>
    <t xml:space="preserve">Correct output, but the prompt had a typo (== o instead of == 0) that Qwen silently fixed.</t>
  </si>
  <si>
    <t xml:space="preserve">FastAPI /health</t>
  </si>
  <si>
    <t xml:space="preserve">Clean run called Uvicorn a WSGI server (it is ASGI). Rerun had no such error. Not yet executed.</t>
  </si>
  <si>
    <t xml:space="preserve">Flatten nested list</t>
  </si>
  <si>
    <t xml:space="preserve">Correct recursive solution both times.</t>
  </si>
  <si>
    <t xml:space="preserve">Mutable default arg</t>
  </si>
  <si>
    <t xml:space="preserve">Correct fix with None. One explanation sentence is muddled.</t>
  </si>
  <si>
    <t xml:space="preserve">Summary</t>
  </si>
  <si>
    <t xml:space="preserve">Clean runs completed</t>
  </si>
  <si>
    <t xml:space="preserve">Clean runs passed</t>
  </si>
  <si>
    <t xml:space="preserve">Clean pass rate</t>
  </si>
  <si>
    <t xml:space="preserve">count_vowels runs: default temp, answer key in prompt</t>
  </si>
  <si>
    <t xml:space="preserve">   passed</t>
  </si>
  <si>
    <t xml:space="preserve">   pass rate</t>
  </si>
  <si>
    <t xml:space="preserve">count_vowels runs: temp 0.2, clean prompt</t>
  </si>
  <si>
    <t xml:space="preserve">Average time (s)</t>
  </si>
  <si>
    <t xml:space="preserve">Slowest test (s)</t>
  </si>
  <si>
    <t xml:space="preserve">Fastest test (s)</t>
  </si>
  <si>
    <t xml:space="preserve">Stage 3-4: answering from a document (Nila Coffee policy)</t>
  </si>
  <si>
    <t xml:space="preserve">Qwen run 1: no template, default temp. Run 2: garbled template line, default temp, --verbose. Run 3: proper template, temp 0.2, Q9 only. gpt-oss-120b: no template, Q9 and Q10 only.</t>
  </si>
  <si>
    <t xml:space="preserve">Q#</t>
  </si>
  <si>
    <t xml:space="preserve">Question</t>
  </si>
  <si>
    <t xml:space="preserve">Type</t>
  </si>
  <si>
    <t xml:space="preserve">Expected</t>
  </si>
  <si>
    <t xml:space="preserve">Qwen run 1</t>
  </si>
  <si>
    <t xml:space="preserve">Run 1 note</t>
  </si>
  <si>
    <t xml:space="preserve">Qwen run 2</t>
  </si>
  <si>
    <t xml:space="preserve">Run 2 time (s)</t>
  </si>
  <si>
    <t xml:space="preserve">Run 2 note</t>
  </si>
  <si>
    <t xml:space="preserve">Qwen run 3 (template, temp 0.2)</t>
  </si>
  <si>
    <t xml:space="preserve">gpt-oss note</t>
  </si>
  <si>
    <t xml:space="preserve">How long until my order ships after I pay?</t>
  </si>
  <si>
    <t xml:space="preserve">Answerable</t>
  </si>
  <si>
    <t xml:space="preserve">Within 2 business days</t>
  </si>
  <si>
    <t xml:space="preserve">How many days will delivery to Chennai take?</t>
  </si>
  <si>
    <t xml:space="preserve">2-4 days</t>
  </si>
  <si>
    <t xml:space="preserve">No. Rs 59 fee (free only above Rs 699)</t>
  </si>
  <si>
    <t xml:space="preserve">Fail</t>
  </si>
  <si>
    <t xml:space="preserve">Said shipping is free. Doc says free only above Rs 699.</t>
  </si>
  <si>
    <t xml:space="preserve">Can I return a pack I already opened?</t>
  </si>
  <si>
    <t xml:space="preserve">No, unless damaged or wrong item</t>
  </si>
  <si>
    <t xml:space="preserve">How long does a refund take after you receive my return?</t>
  </si>
  <si>
    <t xml:space="preserve">5-7 business days</t>
  </si>
  <si>
    <t xml:space="preserve">My order was cash on delivery. How will I get my refund?</t>
  </si>
  <si>
    <t xml:space="preserve">Bank transfer</t>
  </si>
  <si>
    <t xml:space="preserve">No</t>
  </si>
  <si>
    <t xml:space="preserve">Opened with 'Yes, you can cancel', then said it cannot be cancelled once shipped. Contradicts itself.</t>
  </si>
  <si>
    <t xml:space="preserve">How early do I need to cancel my subscription before billing?</t>
  </si>
  <si>
    <t xml:space="preserve">At least 48 hours before</t>
  </si>
  <si>
    <t xml:space="preserve">Unanswerable</t>
  </si>
  <si>
    <t xml:space="preserve">NOT IN DOCUMENT</t>
  </si>
  <si>
    <t xml:space="preserve">Soft pass</t>
  </si>
  <si>
    <t xml:space="preserve">Deflected with vague wording. Never said it is not in the document.</t>
  </si>
  <si>
    <t xml:space="preserve">Said 'Yes, we ship internationally.' Invented.</t>
  </si>
  <si>
    <t xml:space="preserve">Stated 'we ship only within India' as fact. Its own reasoning said 'likely not covered'. Added forwarding-service advice nobody gave it.</t>
  </si>
  <si>
    <t xml:space="preserve">NOT IN DOCUMENT (email only)</t>
  </si>
  <si>
    <t xml:space="preserve">Invented +91 1234567890.</t>
  </si>
  <si>
    <t xml:space="preserve">Invented +91 9876543210, a different number from run 1.</t>
  </si>
  <si>
    <t xml:space="preserve">Said there is no phone number and gave the email and hours correctly.</t>
  </si>
  <si>
    <t xml:space="preserve">Qwen run 1 score (strict, Pass only)</t>
  </si>
  <si>
    <t xml:space="preserve">Qwen run 1 score (lenient, incl. Soft pass)</t>
  </si>
  <si>
    <t xml:space="preserve">Qwen run 2 score (strict)</t>
  </si>
  <si>
    <t xml:space="preserve">Qwen accuracy on answerable Qs (runs 1+2)</t>
  </si>
  <si>
    <t xml:space="preserve">Qwen fabrications on unanswerable (runs 1+2)</t>
  </si>
  <si>
    <t xml:space="preserve">Qwen unanswerable probes (runs 1+2)</t>
  </si>
  <si>
    <t xml:space="preserve">Qwen fabrication rate</t>
  </si>
  <si>
    <t xml:space="preserve">gpt-oss-120b fabrications on unanswerable</t>
  </si>
  <si>
    <t xml:space="preserve">gpt-oss-120b unanswerable probes</t>
  </si>
  <si>
    <t xml:space="preserve">gpt-oss-120b fabrication rate</t>
  </si>
  <si>
    <t xml:space="preserve">Qwen run 2 average answer time (s)</t>
  </si>
  <si>
    <t xml:space="preserve">Extra probes (outside the 10-question set)</t>
  </si>
  <si>
    <t xml:space="preserve">Probe</t>
  </si>
  <si>
    <t xml:space="preserve">What happened</t>
  </si>
  <si>
    <t xml:space="preserve">How can I get the gift cards? (not in document, no template)</t>
  </si>
  <si>
    <t xml:space="preserve">Invented a full purchase flow (website, app, payment, wallet delivery).</t>
  </si>
  <si>
    <t xml:space="preserve">Wrong order: how does cancellation and refund work?</t>
  </si>
  <si>
    <t xml:space="preserve">Mixed real policy with invented details (return labels, designated store).</t>
  </si>
  <si>
    <t xml:space="preserve">10 customer messages answered as a support agent (not the JSON template)</t>
  </si>
  <si>
    <t xml:space="preserve">gpt-oss-120b / 20b</t>
  </si>
  <si>
    <t xml:space="preserve">Invented prepaid return labels, replacements, refunds for late orders and an address-book feature. Earlier amounts leaked into later answers (Karthik got Anjali's Rs 1,299). The Tamil message was answered in Malayalam by the 20B model. Not comparable to Qwen; shown as a probe only.</t>
  </si>
  <si>
    <t xml:space="preserve">Stage 6: messy message to clean JSON (same template, both models)</t>
  </si>
  <si>
    <t xml:space="preserve">Pass = valid JSON with all 4 fields matching. Qwen first runs are scored. gpt-oss-120b latency is the Groq playground figure; Priya's was not captured.</t>
  </si>
  <si>
    <t xml:space="preserve">Message</t>
  </si>
  <si>
    <t xml:space="preserve">Qwen fields right (of 4)</t>
  </si>
  <si>
    <t xml:space="preserve">Qwen time (s)</t>
  </si>
  <si>
    <t xml:space="preserve">Qwen note</t>
  </si>
  <si>
    <t xml:space="preserve">gpt-oss fields right (of 4)</t>
  </si>
  <si>
    <t xml:space="preserve">gpt-oss latency (ms)</t>
  </si>
  <si>
    <t xml:space="preserve">Hi this is Priya, order #NC1042 hasn't arrived yet, it's been 9 days</t>
  </si>
  <si>
    <t xml:space="preserve">{"customer_name":"Priya","order_id":"NC1042","issue_type":"delay","amount_inr":null}</t>
  </si>
  <si>
    <t xml:space="preserve">Ravi here. Got my coffee pack broken, order NC2210, paid Rs 849</t>
  </si>
  <si>
    <t xml:space="preserve">{"customer_name":"Ravi","order_id":"NC2210","issue_type":"damaged","amount_inr":849}</t>
  </si>
  <si>
    <t xml:space="preserve">Want refund for NC3051 - Anjali Menon. I paid Rs 1,299</t>
  </si>
  <si>
    <t xml:space="preserve">{"customer_name":"Anjali Menon","order_id":"NC3051","issue_type":"refund","amount_inr":1299}</t>
  </si>
  <si>
    <t xml:space="preserve">Order NC4120 wrong item delivered. Thanks, Karthik</t>
  </si>
  <si>
    <t xml:space="preserve">{"customer_name":"Karthik","order_id":"NC4120","issue_type":"wrong_item","amount_inr":null}</t>
  </si>
  <si>
    <t xml:space="preserve">Sneha: how do I change my address? no order id yet</t>
  </si>
  <si>
    <t xml:space="preserve">{"customer_name":"Sneha","order_id":null,"issue_type":"other","amount_inr":null}</t>
  </si>
  <si>
    <t xml:space="preserve">Two runs, both correct. First run was not preceded by /clear.</t>
  </si>
  <si>
    <t xml:space="preserve">{"customer_name":"Mohammed Irfan","order_id":"NC5533","issue_type":"refund","amount_inr":450}</t>
  </si>
  <si>
    <t xml:space="preserve">Run 1 gave name 'SMohammed Irfan' (stray S). Run 2 was correct.</t>
  </si>
  <si>
    <t xml:space="preserve">Debated delay vs refund in its reasoning, chose refund.</t>
  </si>
  <si>
    <t xml:space="preserve">URGENT!!! nc6001 packet leaking. -Deepa S. (Rs 1,050 order)</t>
  </si>
  <si>
    <t xml:space="preserve">{"customer_name":"Deepa S.","order_id":"NC6001","issue_type":"damaged","amount_inr":1050}</t>
  </si>
  <si>
    <t xml:space="preserve">Uppercased nc6001 correctly.</t>
  </si>
  <si>
    <t xml:space="preserve">Hello, Suresh. Order number is NC7788. Late by 3 days. Paid 2,499 rupees</t>
  </si>
  <si>
    <t xml:space="preserve">{"customer_name":"Suresh","order_id":"NC7788","issue_type":"delay","amount_inr":2499}</t>
  </si>
  <si>
    <t xml:space="preserve">{"customer_name":"Vignesh","order_id":"NC8890","issue_type":"delay","amount_inr":null}</t>
  </si>
  <si>
    <t xml:space="preserve">Tamil in English letters. Name = Anna (a greeting), amount = 12 (the days). Order ID and issue type right.</t>
  </si>
  <si>
    <t xml:space="preserve">Read 'Anna' as a greeting and took the name from the signature.</t>
  </si>
  <si>
    <t xml:space="preserve">Just wanted to say the coffee was great! - Lakshmi</t>
  </si>
  <si>
    <t xml:space="preserve">{"customer_name":"Lakshmi","order_id":null,"issue_type":"other","amount_inr":null}</t>
  </si>
  <si>
    <t xml:space="preserve">Qwen messages fully correct (first runs)</t>
  </si>
  <si>
    <t xml:space="preserve">Qwen fields correct</t>
  </si>
  <si>
    <t xml:space="preserve">Fields total</t>
  </si>
  <si>
    <t xml:space="preserve">Qwen field accuracy</t>
  </si>
  <si>
    <t xml:space="preserve">Qwen answers that parse as raw JSON (of 10)</t>
  </si>
  <si>
    <t xml:space="preserve">gpt-oss messages fully correct</t>
  </si>
  <si>
    <t xml:space="preserve">gpt-oss fields correct</t>
  </si>
  <si>
    <t xml:space="preserve">gpt-oss field accuracy</t>
  </si>
  <si>
    <t xml:space="preserve">gpt-oss answers that were plain JSON, as copied (of 10)</t>
  </si>
  <si>
    <t xml:space="preserve">Qwen average time, all 12 runs (s)</t>
  </si>
  <si>
    <t xml:space="preserve">gpt-oss average latency, 9 captured (s)</t>
  </si>
  <si>
    <t xml:space="preserve">Qwen / gpt-oss time ratio</t>
  </si>
  <si>
    <t xml:space="preserve">All Qwen JSON runs (for the time average)</t>
  </si>
  <si>
    <t xml:space="preserve">Run</t>
  </si>
  <si>
    <t xml:space="preserve">Time (s)</t>
  </si>
  <si>
    <t xml:space="preserve">1 Priya</t>
  </si>
  <si>
    <t xml:space="preserve">2 Ravi</t>
  </si>
  <si>
    <t xml:space="preserve">3 Anjali</t>
  </si>
  <si>
    <t xml:space="preserve">4 Karthik</t>
  </si>
  <si>
    <t xml:space="preserve">5 Sneha (run 1)</t>
  </si>
  <si>
    <t xml:space="preserve">5 Sneha (run 2)</t>
  </si>
  <si>
    <t xml:space="preserve">6 Irfan (run 1)</t>
  </si>
  <si>
    <t xml:space="preserve">6 Irfan (run 2)</t>
  </si>
  <si>
    <t xml:space="preserve">7 Deepa</t>
  </si>
  <si>
    <t xml:space="preserve">8 Suresh</t>
  </si>
  <si>
    <t xml:space="preserve">9 Vignesh</t>
  </si>
  <si>
    <t xml:space="preserve">10 Lakshmi</t>
  </si>
  <si>
    <t xml:space="preserve">Speed on the 8GB laptop (Qwen2.5-Coder 3B, plain Ollama)</t>
  </si>
  <si>
    <t xml:space="preserve">Block 1: T1 code prompts, no /clear between them, so context kept growing</t>
  </si>
  <si>
    <t xml:space="preserve">Run order</t>
  </si>
  <si>
    <t xml:space="preserve">First eval rate (tok/s)</t>
  </si>
  <si>
    <t xml:space="preserve">Speed drop, first to last</t>
  </si>
  <si>
    <t xml:space="preserve">Context growth (x)</t>
  </si>
  <si>
    <t xml:space="preserve">Block 2: T2 run 2 (one session, short answers, context 405 to 740 tokens)</t>
  </si>
  <si>
    <t xml:space="preserve">Question asked (order)</t>
  </si>
  <si>
    <t xml:space="preserve">Answer time (s)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</si>
  <si>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</si>
  <si>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</si>
  <si>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</si>
  <si>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</si>
  <si>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</si>
  <si>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</si>
  <si>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</si>
  <si>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</si>
  <si>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Q10</t>
  </si>
  <si>
    <t xml:space="preserve">Q9</t>
  </si>
  <si>
    <t xml:space="preserve">Min eval rate (tok/s)</t>
  </si>
  <si>
    <t xml:space="preserve">Max eval rate (tok/s)</t>
  </si>
  <si>
    <t xml:space="preserve">First call, cold document read (s)</t>
  </si>
  <si>
    <t xml:space="preserve">Q9 with template, temp 0.2 (s)</t>
  </si>
  <si>
    <t xml:space="preserve">Block 3: same model, same palindrome prompt, different setup</t>
  </si>
  <si>
    <t xml:space="preserve">OpenCode agent tool (Build mode)</t>
  </si>
  <si>
    <t xml:space="preserve">Raw tool-call JSON, no usable code (fail)</t>
  </si>
  <si>
    <t xml:space="preserve">Correct function with explanation (pass)</t>
  </si>
  <si>
    <t xml:space="preserve">Speed ratio (plain / agent)</t>
  </si>
  <si>
    <t xml:space="preserve">Method, settings by stage, and limits</t>
  </si>
  <si>
    <t xml:space="preserve">Temperature</t>
  </si>
  <si>
    <t xml:space="preserve">Prompt</t>
  </si>
  <si>
    <t xml:space="preserve">Context handling</t>
  </si>
  <si>
    <t xml:space="preserve">Note</t>
  </si>
  <si>
    <t xml:space="preserve">Not recorded</t>
  </si>
  <si>
    <t xml:space="preserve">Column B palindrome prompt</t>
  </si>
  <si>
    <t xml:space="preserve">Agent tool vs plain chat</t>
  </si>
  <si>
    <t xml:space="preserve">Screenshots show 1m 12s / 0.5 tok/s vs 29.65 s / 10.09 tok/s.</t>
  </si>
  <si>
    <t xml:space="preserve">2 Code (clean)</t>
  </si>
  <si>
    <t xml:space="preserve">Ollama default</t>
  </si>
  <si>
    <t xml:space="preserve">Column B</t>
  </si>
  <si>
    <t xml:space="preserve">No /clear between prompts</t>
  </si>
  <si>
    <t xml:space="preserve">Speed fell 35% over 9 prompts. Times are inflated by context growth.</t>
  </si>
  <si>
    <t xml:space="preserve">2 Code (reruns)</t>
  </si>
  <si>
    <t xml:space="preserve">Expected text pasted in</t>
  </si>
  <si>
    <t xml:space="preserve">/clear between runs</t>
  </si>
  <si>
    <t xml:space="preserve">Answer key leaked. Weak evidence.</t>
  </si>
  <si>
    <t xml:space="preserve">2 count_vowels (clean)</t>
  </si>
  <si>
    <t xml:space="preserve">0.2</t>
  </si>
  <si>
    <t xml:space="preserve">Column B (doubled quotes)</t>
  </si>
  <si>
    <t xml:space="preserve">Run 3 had an extra question in the prompt.</t>
  </si>
  <si>
    <t xml:space="preserve">3 Document Q&amp;A run 1</t>
  </si>
  <si>
    <t xml:space="preserve">Document, then plain questions</t>
  </si>
  <si>
    <t xml:space="preserve">One session</t>
  </si>
  <si>
    <t xml:space="preserve">No refusal instruction.</t>
  </si>
  <si>
    <t xml:space="preserve">3 Document Q&amp;A run 2</t>
  </si>
  <si>
    <t xml:space="preserve">Garbled template line</t>
  </si>
  <si>
    <t xml:space="preserve">One session, --verbose</t>
  </si>
  <si>
    <t xml:space="preserve">Template pasted as a fragment, not a real instruction.</t>
  </si>
  <si>
    <t xml:space="preserve">5 Template check</t>
  </si>
  <si>
    <t xml:space="preserve">Full 'NOT IN DOCUMENT' template</t>
  </si>
  <si>
    <t xml:space="preserve">Fresh context</t>
  </si>
  <si>
    <t xml:space="preserve">One run on Q9 only. Two settings changed at once.</t>
  </si>
  <si>
    <t xml:space="preserve">4 gpt-oss-120b document probes</t>
  </si>
  <si>
    <t xml:space="preserve">No template; support-agent setup</t>
  </si>
  <si>
    <t xml:space="preserve">Playground</t>
  </si>
  <si>
    <t xml:space="preserve">Only Q9 and Q10.</t>
  </si>
  <si>
    <t xml:space="preserve">6 JSON, Qwen</t>
  </si>
  <si>
    <t xml:space="preserve">JSON template</t>
  </si>
  <si>
    <t xml:space="preserve">/clear before each message</t>
  </si>
  <si>
    <t xml:space="preserve">Sneha run 1 had no /clear. Temperature was not shown in the transcript.</t>
  </si>
  <si>
    <t xml:space="preserve">6 JSON, gpt-oss-120b</t>
  </si>
  <si>
    <t xml:space="preserve">Playground default</t>
  </si>
  <si>
    <t xml:space="preserve">JSON template, no system prompt</t>
  </si>
  <si>
    <t xml:space="preserve">New chat per message</t>
  </si>
  <si>
    <t xml:space="preserve">Latency is the playground figure.</t>
  </si>
  <si>
    <t xml:space="preserve">Limits</t>
  </si>
  <si>
    <t xml:space="preserve">10 messages, 10 questions, one fictional document, one laptop.</t>
  </si>
  <si>
    <t xml:space="preserve">One code-tuned 3B model (a general 3B may do better) and one hosted model. Not a ranking.</t>
  </si>
  <si>
    <t xml:space="preserve">Mostly single runs. Small models vary run to run; each test needs about 3 runs.</t>
  </si>
  <si>
    <t xml:space="preserve">Temperature and context handling were not identical across stages (see table above).</t>
  </si>
  <si>
    <t xml:space="preserve">T1 outputs were read, not all executed (FastAPI, SQL, regex checks pending).</t>
  </si>
  <si>
    <t xml:space="preserve">Support-agent probe on Groq switched from 120B to 20B partway and shared one chat, so it is not comparable.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</si>
</sst>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%"/>
    <numFmt numFmtId="166" formatCode="0\x"/>
    <numFmt numFmtId="167" formatCode="0.0\x"/>
    <numFmt numFmtId="168" formatCode="0.00"/>
    <numFmt numFmtId="169" formatCode="0.0"/>
    <numFmt numFmtId="170" formatCode="#,##0"/>
    <numFmt numFmtId="171" formatCode="0"/>
    <numFmt numFmtId="172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E5E7EB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2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1FAE5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EF3C7"/>
      <rgbColor rgb="FFE5E7EB"/>
      <rgbColor rgb="FF660066"/>
      <rgbColor rgb="FFFF8080"/>
      <rgbColor rgb="FF1D4ED8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555555"/>
      <rgbColor rgb="FF94A3B8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JSON extraction: Qwen 3B vs gpt-oss-120b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Dashboard!B5</c:f>
              <c:strCache>
                <c:ptCount val="1"/>
                <c:pt idx="0">
                  <c:v>Qwen 3B</c:v>
                </c:pt>
              </c:strCache>
            </c:strRef>
          </c:tx>
          <c:spPr>
            <a:solidFill>
              <a:srgbClr val="1d4ed8"/>
            </a:solidFill>
            <a:ln w="9360">
              <a:solidFill>
                <a:srgbClr val="1d4ed8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Dashboard!$A$6:$A$8</c:f>
              <c:strCache>
                <c:ptCount val="3"/>
                <c:pt idx="0">
                  <c:v>Messages fully correct</c:v>
                </c:pt>
                <c:pt idx="1">
                  <c:v>Fields correct</c:v>
                </c:pt>
                <c:pt idx="2">
                  <c:v>Output parses as raw JSON</c:v>
                </c:pt>
              </c:strCache>
            </c:strRef>
          </c:cat>
          <c:val>
            <c:numRef>
              <c:f>Dashboard!$B$6:$B$8</c:f>
              <c:numCache>
                <c:formatCode>0%</c:formatCode>
                <c:ptCount val="3"/>
                <c:pt idx="0">
                  <c:v>0.8</c:v>
                </c:pt>
                <c:pt idx="1">
                  <c:v>0.925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Dashboard!C5</c:f>
              <c:strCache>
                <c:ptCount val="1"/>
                <c:pt idx="0">
                  <c:v>gpt-oss-120b</c:v>
                </c:pt>
              </c:strCache>
            </c:strRef>
          </c:tx>
          <c:spPr>
            <a:solidFill>
              <a:srgbClr val="94a3b8"/>
            </a:solidFill>
            <a:ln w="9360">
              <a:solidFill>
                <a:srgbClr val="94a3b8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Dashboard!$A$6:$A$8</c:f>
              <c:strCache>
                <c:ptCount val="3"/>
                <c:pt idx="0">
                  <c:v>Messages fully correct</c:v>
                </c:pt>
                <c:pt idx="1">
                  <c:v>Fields correct</c:v>
                </c:pt>
                <c:pt idx="2">
                  <c:v>Output parses as raw JSON</c:v>
                </c:pt>
              </c:strCache>
            </c:strRef>
          </c:cat>
          <c:val>
            <c:numRef>
              <c:f>Dashboard!$C$6:$C$8</c:f>
              <c:numCache>
                <c:formatCode>0%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gapWidth val="60"/>
        <c:overlap val="0"/>
        <c:axId val="38653318"/>
        <c:axId val="36461686"/>
      </c:barChart>
      <c:catAx>
        <c:axId val="386533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461686"/>
        <c:crosses val="autoZero"/>
        <c:auto val="1"/>
        <c:lblAlgn val="ctr"/>
        <c:lblOffset val="100"/>
        <c:noMultiLvlLbl val="0"/>
      </c:catAx>
      <c:valAx>
        <c:axId val="36461686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65331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Made-up answers and accuracy on document Q&amp;A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Dashboard!B12</c:f>
              <c:strCache>
                <c:ptCount val="1"/>
                <c:pt idx="0">
                  <c:v>Rate</c:v>
                </c:pt>
              </c:strCache>
            </c:strRef>
          </c:tx>
          <c:spPr>
            <a:solidFill>
              <a:srgbClr val="1d4ed8"/>
            </a:solidFill>
            <a:ln w="9360">
              <a:solidFill>
                <a:srgbClr val="1d4ed8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Dashboard!$A$13:$A$15</c:f>
              <c:strCache>
                <c:ptCount val="3"/>
                <c:pt idx="0">
                  <c:v>Qwen: correct when the document had the answer</c:v>
                </c:pt>
                <c:pt idx="1">
                  <c:v>Qwen: made up an answer when it had none</c:v>
                </c:pt>
                <c:pt idx="2">
                  <c:v>gpt-oss-120b: made up an answer when it had none</c:v>
                </c:pt>
              </c:strCache>
            </c:strRef>
          </c:cat>
          <c:val>
            <c:numRef>
              <c:f>Dashboard!$B$13:$B$15</c:f>
              <c:numCache>
                <c:formatCode>0%</c:formatCode>
                <c:ptCount val="3"/>
                <c:pt idx="0">
                  <c:v>0.875</c:v>
                </c:pt>
                <c:pt idx="1">
                  <c:v>0.75</c:v>
                </c:pt>
                <c:pt idx="2">
                  <c:v>0.5</c:v>
                </c:pt>
              </c:numCache>
            </c:numRef>
          </c:val>
        </c:ser>
        <c:gapWidth val="60"/>
        <c:overlap val="0"/>
        <c:axId val="22441305"/>
        <c:axId val="65029473"/>
      </c:barChart>
      <c:catAx>
        <c:axId val="224413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029473"/>
        <c:crosses val="autoZero"/>
        <c:auto val="1"/>
        <c:lblAlgn val="ctr"/>
        <c:lblOffset val="100"/>
        <c:noMultiLvlLbl val="0"/>
      </c:catAx>
      <c:valAx>
        <c:axId val="65029473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4413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Qwen speed (tok/s) as the chat context grew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Dashboard!B18</c:f>
              <c:strCache>
                <c:ptCount val="1"/>
                <c:pt idx="0">
                  <c:v>Eval rate (tok/s)</c:v>
                </c:pt>
              </c:strCache>
            </c:strRef>
          </c:tx>
          <c:spPr>
            <a:solidFill>
              <a:srgbClr val="1d4ed8"/>
            </a:solidFill>
            <a:ln w="38160">
              <a:solidFill>
                <a:srgbClr val="1d4ed8"/>
              </a:solidFill>
              <a:round/>
            </a:ln>
          </c:spPr>
          <c:marker>
            <c:symbol val="circle"/>
            <c:size val="5"/>
            <c:spPr>
              <a:solidFill>
                <a:srgbClr val="1d4ed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Dashboard!$A$19:$A$27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Dashboard!$B$19:$B$27</c:f>
              <c:numCache>
                <c:formatCode>0.00</c:formatCode>
                <c:ptCount val="9"/>
                <c:pt idx="0">
                  <c:v>10.09</c:v>
                </c:pt>
                <c:pt idx="1">
                  <c:v>9.6</c:v>
                </c:pt>
                <c:pt idx="2">
                  <c:v>8.95</c:v>
                </c:pt>
                <c:pt idx="3">
                  <c:v>8.53</c:v>
                </c:pt>
                <c:pt idx="4">
                  <c:v>7.99</c:v>
                </c:pt>
                <c:pt idx="5">
                  <c:v>7.44</c:v>
                </c:pt>
                <c:pt idx="6">
                  <c:v>7.12</c:v>
                </c:pt>
                <c:pt idx="7">
                  <c:v>6.88</c:v>
                </c:pt>
                <c:pt idx="8">
                  <c:v>6.53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50147264"/>
        <c:axId val="77072056"/>
      </c:lineChart>
      <c:catAx>
        <c:axId val="5014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072056"/>
        <c:crosses val="autoZero"/>
        <c:auto val="1"/>
        <c:lblAlgn val="ctr"/>
        <c:lblOffset val="100"/>
        <c:noMultiLvlLbl val="0"/>
      </c:catAx>
      <c:valAx>
        <c:axId val="77072056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14726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Same 3B model: plain Ollama vs agent tool (tok/s)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Dashboard!B30</c:f>
              <c:strCache>
                <c:ptCount val="1"/>
                <c:pt idx="0">
                  <c:v>Speed (tok/s)</c:v>
                </c:pt>
              </c:strCache>
            </c:strRef>
          </c:tx>
          <c:spPr>
            <a:solidFill>
              <a:srgbClr val="1d4ed8"/>
            </a:solidFill>
            <a:ln w="9360">
              <a:solidFill>
                <a:srgbClr val="1d4ed8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Dashboard!$A$31:$A$32</c:f>
              <c:strCache>
                <c:ptCount val="2"/>
                <c:pt idx="0">
                  <c:v>Plain Ollama</c:v>
                </c:pt>
                <c:pt idx="1">
                  <c:v>Agent tool (OpenCode)</c:v>
                </c:pt>
              </c:strCache>
            </c:strRef>
          </c:cat>
          <c:val>
            <c:numRef>
              <c:f>Dashboard!$B$31:$B$32</c:f>
              <c:numCache>
                <c:formatCode>0.00</c:formatCode>
                <c:ptCount val="2"/>
                <c:pt idx="0">
                  <c:v>10.09</c:v>
                </c:pt>
                <c:pt idx="1">
                  <c:v>0.5</c:v>
                </c:pt>
              </c:numCache>
            </c:numRef>
          </c:val>
        </c:ser>
        <c:gapWidth val="60"/>
        <c:overlap val="0"/>
        <c:axId val="44028105"/>
        <c:axId val="15949350"/>
      </c:barChart>
      <c:catAx>
        <c:axId val="440281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949350"/>
        <c:crosses val="autoZero"/>
        <c:auto val="1"/>
        <c:lblAlgn val="ctr"/>
        <c:lblOffset val="100"/>
        <c:noMultiLvlLbl val="0"/>
      </c:catAx>
      <c:valAx>
        <c:axId val="15949350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0281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JSON answer time (seconds)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Dashboard!B35</c:f>
              <c:strCache>
                <c:ptCount val="1"/>
                <c:pt idx="0">
                  <c:v>Seconds</c:v>
                </c:pt>
              </c:strCache>
            </c:strRef>
          </c:tx>
          <c:spPr>
            <a:solidFill>
              <a:srgbClr val="1d4ed8"/>
            </a:solidFill>
            <a:ln w="9360">
              <a:solidFill>
                <a:srgbClr val="1d4ed8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Dashboard!$A$36:$A$37</c:f>
              <c:strCache>
                <c:ptCount val="2"/>
                <c:pt idx="0">
                  <c:v>Qwen 3B (local)</c:v>
                </c:pt>
                <c:pt idx="1">
                  <c:v>gpt-oss-120b (Groq)</c:v>
                </c:pt>
              </c:strCache>
            </c:strRef>
          </c:cat>
          <c:val>
            <c:numRef>
              <c:f>Dashboard!$B$36:$B$37</c:f>
              <c:numCache>
                <c:formatCode>0.00</c:formatCode>
                <c:ptCount val="2"/>
                <c:pt idx="0">
                  <c:v>5.98083333333333</c:v>
                </c:pt>
                <c:pt idx="1">
                  <c:v>0.442888888888889</c:v>
                </c:pt>
              </c:numCache>
            </c:numRef>
          </c:val>
        </c:ser>
        <c:gapWidth val="60"/>
        <c:overlap val="0"/>
        <c:axId val="20672147"/>
        <c:axId val="65419840"/>
      </c:barChart>
      <c:catAx>
        <c:axId val="206721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419840"/>
        <c:crosses val="autoZero"/>
        <c:auto val="1"/>
        <c:lblAlgn val="ctr"/>
        <c:lblOffset val="100"/>
        <c:noMultiLvlLbl val="0"/>
      </c:catAx>
      <c:valAx>
        <c:axId val="65419840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6721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Code tests: pass rate by condition (Qwen)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Dashboard!B40</c:f>
              <c:strCache>
                <c:ptCount val="1"/>
                <c:pt idx="0">
                  <c:v>Pass rate</c:v>
                </c:pt>
              </c:strCache>
            </c:strRef>
          </c:tx>
          <c:spPr>
            <a:solidFill>
              <a:srgbClr val="1d4ed8"/>
            </a:solidFill>
            <a:ln w="9360">
              <a:solidFill>
                <a:srgbClr val="1d4ed8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Dashboard!$A$41:$A$43</c:f>
              <c:strCache>
                <c:ptCount val="3"/>
                <c:pt idx="0">
                  <c:v>Clean prompts, 10 tests</c:v>
                </c:pt>
                <c:pt idx="1">
                  <c:v>count_vowels, default temp, answer key in prompt</c:v>
                </c:pt>
                <c:pt idx="2">
                  <c:v>count_vowels, temp 0.2, clean prompt</c:v>
                </c:pt>
              </c:strCache>
            </c:strRef>
          </c:cat>
          <c:val>
            <c:numRef>
              <c:f>Dashboard!$B$41:$B$43</c:f>
              <c:numCache>
                <c:formatCode>0%</c:formatCode>
                <c:ptCount val="3"/>
                <c:pt idx="0">
                  <c:v>1</c:v>
                </c:pt>
                <c:pt idx="1">
                  <c:v>0.5</c:v>
                </c:pt>
                <c:pt idx="2">
                  <c:v>1</c:v>
                </c:pt>
              </c:numCache>
            </c:numRef>
          </c:val>
        </c:ser>
        <c:gapWidth val="60"/>
        <c:overlap val="0"/>
        <c:axId val="52057659"/>
        <c:axId val="57415351"/>
      </c:barChart>
      <c:catAx>
        <c:axId val="520576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415351"/>
        <c:crosses val="autoZero"/>
        <c:auto val="1"/>
        <c:lblAlgn val="ctr"/>
        <c:lblOffset val="100"/>
        <c:noMultiLvlLbl val="0"/>
      </c:catAx>
      <c:valAx>
        <c:axId val="57415351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05765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176040</xdr:rowOff>
    </xdr:from>
    <xdr:to>
      <xdr:col>12</xdr:col>
      <xdr:colOff>507600</xdr:colOff>
      <xdr:row>14</xdr:row>
      <xdr:rowOff>170640</xdr:rowOff>
    </xdr:to>
    <xdr:graphicFrame>
      <xdr:nvGraphicFramePr>
        <xdr:cNvPr id="0" name="Chart 1"/>
        <xdr:cNvGraphicFramePr/>
      </xdr:nvGraphicFramePr>
      <xdr:xfrm>
        <a:off x="5968440" y="571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2</xdr:row>
      <xdr:rowOff>176040</xdr:rowOff>
    </xdr:from>
    <xdr:to>
      <xdr:col>21</xdr:col>
      <xdr:colOff>507600</xdr:colOff>
      <xdr:row>14</xdr:row>
      <xdr:rowOff>170640</xdr:rowOff>
    </xdr:to>
    <xdr:graphicFrame>
      <xdr:nvGraphicFramePr>
        <xdr:cNvPr id="1" name="Chart 2"/>
        <xdr:cNvGraphicFramePr/>
      </xdr:nvGraphicFramePr>
      <xdr:xfrm>
        <a:off x="11471760" y="571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18</xdr:row>
      <xdr:rowOff>175680</xdr:rowOff>
    </xdr:from>
    <xdr:to>
      <xdr:col>12</xdr:col>
      <xdr:colOff>507600</xdr:colOff>
      <xdr:row>31</xdr:row>
      <xdr:rowOff>189360</xdr:rowOff>
    </xdr:to>
    <xdr:graphicFrame>
      <xdr:nvGraphicFramePr>
        <xdr:cNvPr id="2" name="Chart 3"/>
        <xdr:cNvGraphicFramePr/>
      </xdr:nvGraphicFramePr>
      <xdr:xfrm>
        <a:off x="5968440" y="42480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0</xdr:colOff>
      <xdr:row>18</xdr:row>
      <xdr:rowOff>175680</xdr:rowOff>
    </xdr:from>
    <xdr:to>
      <xdr:col>21</xdr:col>
      <xdr:colOff>507600</xdr:colOff>
      <xdr:row>31</xdr:row>
      <xdr:rowOff>189360</xdr:rowOff>
    </xdr:to>
    <xdr:graphicFrame>
      <xdr:nvGraphicFramePr>
        <xdr:cNvPr id="3" name="Chart 4"/>
        <xdr:cNvGraphicFramePr/>
      </xdr:nvGraphicFramePr>
      <xdr:xfrm>
        <a:off x="11471760" y="42480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4</xdr:col>
      <xdr:colOff>0</xdr:colOff>
      <xdr:row>34</xdr:row>
      <xdr:rowOff>385200</xdr:rowOff>
    </xdr:from>
    <xdr:to>
      <xdr:col>12</xdr:col>
      <xdr:colOff>507600</xdr:colOff>
      <xdr:row>47</xdr:row>
      <xdr:rowOff>189360</xdr:rowOff>
    </xdr:to>
    <xdr:graphicFrame>
      <xdr:nvGraphicFramePr>
        <xdr:cNvPr id="4" name="Chart 5"/>
        <xdr:cNvGraphicFramePr/>
      </xdr:nvGraphicFramePr>
      <xdr:xfrm>
        <a:off x="5968440" y="771516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13</xdr:col>
      <xdr:colOff>0</xdr:colOff>
      <xdr:row>34</xdr:row>
      <xdr:rowOff>385200</xdr:rowOff>
    </xdr:from>
    <xdr:to>
      <xdr:col>21</xdr:col>
      <xdr:colOff>507600</xdr:colOff>
      <xdr:row>47</xdr:row>
      <xdr:rowOff>189360</xdr:rowOff>
    </xdr:to>
    <xdr:graphicFrame>
      <xdr:nvGraphicFramePr>
        <xdr:cNvPr id="5" name="Chart 6"/>
        <xdr:cNvGraphicFramePr/>
      </xdr:nvGraphicFramePr>
      <xdr:xfrm>
        <a:off x="11471760" y="771516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78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</row>
    <row r="5" customFormat="false" ht="18" hidden="false" customHeight="true" outlineLevel="0" collapsed="false">
      <c r="A5" s="4" t="s">
        <v>5</v>
      </c>
      <c r="B5" s="5" t="n">
        <f aca="false">'T3 JSON'!C25</f>
        <v>1</v>
      </c>
      <c r="C5" s="4" t="s">
        <v>6</v>
      </c>
    </row>
    <row r="6" customFormat="false" ht="18" hidden="false" customHeight="true" outlineLevel="0" collapsed="false">
      <c r="A6" s="4" t="s">
        <v>7</v>
      </c>
      <c r="B6" s="5" t="n">
        <f aca="false">'T3 JSON'!C21</f>
        <v>0.925</v>
      </c>
      <c r="C6" s="4" t="s">
        <v>8</v>
      </c>
    </row>
    <row r="7" customFormat="false" ht="18" hidden="false" customHeight="true" outlineLevel="0" collapsed="false">
      <c r="A7" s="4" t="s">
        <v>9</v>
      </c>
      <c r="B7" s="5" t="n">
        <f aca="false">'T3 JSON'!C22/COUNTA('T3 JSON'!B5:B14)</f>
        <v>0</v>
      </c>
      <c r="C7" s="4" t="s">
        <v>10</v>
      </c>
    </row>
    <row r="8" customFormat="false" ht="27.75" hidden="false" customHeight="true" outlineLevel="0" collapsed="false">
      <c r="A8" s="4" t="s">
        <v>11</v>
      </c>
      <c r="B8" s="5" t="n">
        <f aca="false">'T2 RAG'!C21</f>
        <v>0.875</v>
      </c>
      <c r="C8" s="4" t="s">
        <v>12</v>
      </c>
    </row>
    <row r="9" customFormat="false" ht="27.75" hidden="false" customHeight="true" outlineLevel="0" collapsed="false">
      <c r="A9" s="4" t="s">
        <v>13</v>
      </c>
      <c r="B9" s="5" t="n">
        <f aca="false">'T2 RAG'!C24</f>
        <v>0.75</v>
      </c>
      <c r="C9" s="4" t="s">
        <v>14</v>
      </c>
    </row>
    <row r="10" customFormat="false" ht="27.75" hidden="false" customHeight="true" outlineLevel="0" collapsed="false">
      <c r="A10" s="4" t="s">
        <v>15</v>
      </c>
      <c r="B10" s="5" t="n">
        <f aca="false">'T2 RAG'!C27</f>
        <v>0.5</v>
      </c>
      <c r="C10" s="4" t="s">
        <v>16</v>
      </c>
    </row>
    <row r="11" customFormat="false" ht="18" hidden="false" customHeight="true" outlineLevel="0" collapsed="false">
      <c r="A11" s="4" t="s">
        <v>17</v>
      </c>
      <c r="B11" s="6" t="n">
        <f aca="false">Speed!B43</f>
        <v>20.18</v>
      </c>
      <c r="C11" s="4" t="s">
        <v>18</v>
      </c>
    </row>
    <row r="12" customFormat="false" ht="18" hidden="false" customHeight="true" outlineLevel="0" collapsed="false">
      <c r="A12" s="4" t="s">
        <v>19</v>
      </c>
      <c r="B12" s="5" t="n">
        <f aca="false">Speed!B16</f>
        <v>0.352824578790882</v>
      </c>
      <c r="C12" s="4" t="s">
        <v>20</v>
      </c>
    </row>
    <row r="13" customFormat="false" ht="18" hidden="false" customHeight="true" outlineLevel="0" collapsed="false">
      <c r="A13" s="4" t="s">
        <v>21</v>
      </c>
      <c r="B13" s="7" t="n">
        <f aca="false">'T3 JSON'!C29</f>
        <v>13.5041394882087</v>
      </c>
      <c r="C13" s="4" t="s">
        <v>22</v>
      </c>
    </row>
    <row r="14" customFormat="false" ht="18" hidden="false" customHeight="true" outlineLevel="0" collapsed="false">
      <c r="A14" s="4" t="s">
        <v>23</v>
      </c>
      <c r="B14" s="5" t="n">
        <f aca="false">'T1 Code'!C20</f>
        <v>1</v>
      </c>
      <c r="C14" s="4" t="s">
        <v>24</v>
      </c>
    </row>
    <row r="15" customFormat="false" ht="18" hidden="false" customHeight="true" outlineLevel="0" collapsed="false">
      <c r="A15" s="4" t="s">
        <v>25</v>
      </c>
      <c r="B15" s="5" t="n">
        <f aca="false">'T1 Code'!C23</f>
        <v>0.5</v>
      </c>
      <c r="C15" s="4" t="s">
        <v>26</v>
      </c>
    </row>
    <row r="16" customFormat="false" ht="18" hidden="false" customHeight="true" outlineLevel="0" collapsed="false">
      <c r="A16" s="4" t="s">
        <v>27</v>
      </c>
      <c r="B16" s="5" t="n">
        <f aca="false">'T1 Code'!C26</f>
        <v>1</v>
      </c>
      <c r="C16" s="4" t="s">
        <v>28</v>
      </c>
    </row>
    <row r="19" customFormat="false" ht="15" hidden="false" customHeight="false" outlineLevel="0" collapsed="false">
      <c r="A19" s="8" t="s">
        <v>29</v>
      </c>
      <c r="B19" s="9"/>
      <c r="C19" s="9"/>
    </row>
    <row r="20" customFormat="false" ht="31.5" hidden="false" customHeight="true" outlineLevel="0" collapsed="false">
      <c r="A20" s="10" t="s">
        <v>30</v>
      </c>
      <c r="B20" s="10"/>
      <c r="C20" s="10"/>
    </row>
    <row r="21" customFormat="false" ht="31.5" hidden="false" customHeight="true" outlineLevel="0" collapsed="false">
      <c r="A21" s="10" t="s">
        <v>31</v>
      </c>
      <c r="B21" s="10"/>
      <c r="C21" s="10"/>
    </row>
    <row r="22" customFormat="false" ht="31.5" hidden="false" customHeight="true" outlineLevel="0" collapsed="false">
      <c r="A22" s="10" t="s">
        <v>32</v>
      </c>
      <c r="B22" s="10"/>
      <c r="C22" s="10"/>
    </row>
    <row r="23" customFormat="false" ht="31.5" hidden="false" customHeight="true" outlineLevel="0" collapsed="false">
      <c r="A23" s="10" t="s">
        <v>33</v>
      </c>
      <c r="B23" s="10"/>
      <c r="C23" s="10"/>
    </row>
    <row r="24" customFormat="false" ht="31.5" hidden="false" customHeight="true" outlineLevel="0" collapsed="false">
      <c r="A24" s="10" t="s">
        <v>34</v>
      </c>
      <c r="B24" s="10"/>
      <c r="C24" s="10"/>
    </row>
    <row r="25" customFormat="false" ht="31.5" hidden="false" customHeight="true" outlineLevel="0" collapsed="false">
      <c r="A25" s="10" t="s">
        <v>35</v>
      </c>
      <c r="B25" s="10"/>
      <c r="C25" s="10"/>
    </row>
    <row r="26" customFormat="false" ht="18" hidden="false" customHeight="true" outlineLevel="0" collapsed="false">
      <c r="A26" s="10" t="s">
        <v>36</v>
      </c>
      <c r="B26" s="10"/>
      <c r="C26" s="10"/>
    </row>
  </sheetData>
  <mergeCells count="7">
    <mergeCell ref="A20:C20"/>
    <mergeCell ref="A21:C21"/>
    <mergeCell ref="A22:C22"/>
    <mergeCell ref="A23:C23"/>
    <mergeCell ref="A24:C24"/>
    <mergeCell ref="A25:C25"/>
    <mergeCell ref="A26:C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5"/>
  </cols>
  <sheetData>
    <row r="1" customFormat="false" ht="16.15" hidden="false" customHeight="false" outlineLevel="0" collapsed="false">
      <c r="A1" s="1" t="s">
        <v>37</v>
      </c>
    </row>
    <row r="2" customFormat="false" ht="15" hidden="false" customHeight="false" outlineLevel="0" collapsed="false">
      <c r="A2" s="2" t="s">
        <v>38</v>
      </c>
    </row>
    <row r="4" customFormat="false" ht="15" hidden="false" customHeight="false" outlineLevel="0" collapsed="false">
      <c r="A4" s="11" t="s">
        <v>39</v>
      </c>
    </row>
    <row r="5" customFormat="false" ht="31.5" hidden="false" customHeight="true" outlineLevel="0" collapsed="false">
      <c r="A5" s="3" t="s">
        <v>40</v>
      </c>
      <c r="B5" s="3" t="s">
        <v>41</v>
      </c>
      <c r="C5" s="3" t="s">
        <v>42</v>
      </c>
    </row>
    <row r="6" customFormat="false" ht="15" hidden="false" customHeight="false" outlineLevel="0" collapsed="false">
      <c r="A6" s="12" t="s">
        <v>43</v>
      </c>
      <c r="B6" s="13" t="n">
        <f aca="false">'T3 JSON'!C18/COUNTA('T3 JSON'!B5:B14)</f>
        <v>0.8</v>
      </c>
      <c r="C6" s="13" t="n">
        <f aca="false">'T3 JSON'!C23/COUNTA('T3 JSON'!B5:B14)</f>
        <v>1</v>
      </c>
    </row>
    <row r="7" customFormat="false" ht="15" hidden="false" customHeight="false" outlineLevel="0" collapsed="false">
      <c r="A7" s="12" t="s">
        <v>44</v>
      </c>
      <c r="B7" s="13" t="n">
        <f aca="false">'T3 JSON'!C21</f>
        <v>0.925</v>
      </c>
      <c r="C7" s="13" t="n">
        <f aca="false">'T3 JSON'!C25</f>
        <v>1</v>
      </c>
    </row>
    <row r="8" customFormat="false" ht="15" hidden="false" customHeight="false" outlineLevel="0" collapsed="false">
      <c r="A8" s="12" t="s">
        <v>45</v>
      </c>
      <c r="B8" s="13" t="n">
        <f aca="false">'T3 JSON'!C22/COUNTA('T3 JSON'!B5:B14)</f>
        <v>0</v>
      </c>
      <c r="C8" s="13" t="n">
        <f aca="false">'T3 JSON'!C26/COUNTA('T3 JSON'!B5:B14)</f>
        <v>1</v>
      </c>
    </row>
    <row r="11" customFormat="false" ht="15" hidden="false" customHeight="false" outlineLevel="0" collapsed="false">
      <c r="A11" s="11" t="s">
        <v>46</v>
      </c>
    </row>
    <row r="12" customFormat="false" ht="31.5" hidden="false" customHeight="true" outlineLevel="0" collapsed="false">
      <c r="A12" s="3" t="s">
        <v>47</v>
      </c>
      <c r="B12" s="3" t="s">
        <v>48</v>
      </c>
    </row>
    <row r="13" customFormat="false" ht="15" hidden="false" customHeight="false" outlineLevel="0" collapsed="false">
      <c r="A13" s="12" t="s">
        <v>49</v>
      </c>
      <c r="B13" s="13" t="n">
        <f aca="false">'T2 RAG'!C21</f>
        <v>0.875</v>
      </c>
    </row>
    <row r="14" customFormat="false" ht="15" hidden="false" customHeight="false" outlineLevel="0" collapsed="false">
      <c r="A14" s="12" t="s">
        <v>50</v>
      </c>
      <c r="B14" s="13" t="n">
        <f aca="false">'T2 RAG'!C24</f>
        <v>0.75</v>
      </c>
    </row>
    <row r="15" customFormat="false" ht="15" hidden="false" customHeight="false" outlineLevel="0" collapsed="false">
      <c r="A15" s="12" t="s">
        <v>51</v>
      </c>
      <c r="B15" s="13" t="n">
        <f aca="false">'T2 RAG'!C27</f>
        <v>0.5</v>
      </c>
    </row>
    <row r="17" customFormat="false" ht="15" hidden="false" customHeight="false" outlineLevel="0" collapsed="false">
      <c r="A17" s="11" t="s">
        <v>52</v>
      </c>
    </row>
    <row r="18" customFormat="false" ht="31.5" hidden="false" customHeight="true" outlineLevel="0" collapsed="false">
      <c r="A18" s="3" t="s">
        <v>53</v>
      </c>
      <c r="B18" s="3" t="s">
        <v>54</v>
      </c>
    </row>
    <row r="19" customFormat="false" ht="15" hidden="false" customHeight="false" outlineLevel="0" collapsed="false">
      <c r="A19" s="12" t="n">
        <v>1</v>
      </c>
      <c r="B19" s="14" t="n">
        <f aca="false">Speed!B5</f>
        <v>10.09</v>
      </c>
    </row>
    <row r="20" customFormat="false" ht="15" hidden="false" customHeight="false" outlineLevel="0" collapsed="false">
      <c r="A20" s="12" t="n">
        <v>2</v>
      </c>
      <c r="B20" s="14" t="n">
        <f aca="false">Speed!B6</f>
        <v>9.6</v>
      </c>
    </row>
    <row r="21" customFormat="false" ht="15" hidden="false" customHeight="false" outlineLevel="0" collapsed="false">
      <c r="A21" s="12" t="n">
        <v>3</v>
      </c>
      <c r="B21" s="14" t="n">
        <f aca="false">Speed!B7</f>
        <v>8.95</v>
      </c>
    </row>
    <row r="22" customFormat="false" ht="15" hidden="false" customHeight="false" outlineLevel="0" collapsed="false">
      <c r="A22" s="12" t="n">
        <v>4</v>
      </c>
      <c r="B22" s="14" t="n">
        <f aca="false">Speed!B8</f>
        <v>8.53</v>
      </c>
    </row>
    <row r="23" customFormat="false" ht="15" hidden="false" customHeight="false" outlineLevel="0" collapsed="false">
      <c r="A23" s="12" t="n">
        <v>5</v>
      </c>
      <c r="B23" s="14" t="n">
        <f aca="false">Speed!B9</f>
        <v>7.99</v>
      </c>
    </row>
    <row r="24" customFormat="false" ht="15" hidden="false" customHeight="false" outlineLevel="0" collapsed="false">
      <c r="A24" s="12" t="n">
        <v>6</v>
      </c>
      <c r="B24" s="14" t="n">
        <f aca="false">Speed!B10</f>
        <v>7.44</v>
      </c>
    </row>
    <row r="25" customFormat="false" ht="15" hidden="false" customHeight="false" outlineLevel="0" collapsed="false">
      <c r="A25" s="12" t="n">
        <v>7</v>
      </c>
      <c r="B25" s="14" t="n">
        <f aca="false">Speed!B11</f>
        <v>7.12</v>
      </c>
    </row>
    <row r="26" customFormat="false" ht="15" hidden="false" customHeight="false" outlineLevel="0" collapsed="false">
      <c r="A26" s="12" t="n">
        <v>8</v>
      </c>
      <c r="B26" s="14" t="n">
        <f aca="false">Speed!B12</f>
        <v>6.88</v>
      </c>
    </row>
    <row r="27" customFormat="false" ht="15" hidden="false" customHeight="false" outlineLevel="0" collapsed="false">
      <c r="A27" s="12" t="n">
        <v>9</v>
      </c>
      <c r="B27" s="14" t="n">
        <f aca="false">Speed!B13</f>
        <v>6.53</v>
      </c>
    </row>
    <row r="29" customFormat="false" ht="15" hidden="false" customHeight="false" outlineLevel="0" collapsed="false">
      <c r="A29" s="11" t="s">
        <v>55</v>
      </c>
    </row>
    <row r="30" customFormat="false" ht="31.5" hidden="false" customHeight="true" outlineLevel="0" collapsed="false">
      <c r="A30" s="3" t="s">
        <v>56</v>
      </c>
      <c r="B30" s="3" t="s">
        <v>57</v>
      </c>
    </row>
    <row r="31" customFormat="false" ht="15" hidden="false" customHeight="false" outlineLevel="0" collapsed="false">
      <c r="A31" s="12" t="s">
        <v>58</v>
      </c>
      <c r="B31" s="14" t="n">
        <f aca="false">Speed!B42</f>
        <v>10.09</v>
      </c>
    </row>
    <row r="32" customFormat="false" ht="15" hidden="false" customHeight="false" outlineLevel="0" collapsed="false">
      <c r="A32" s="12" t="s">
        <v>59</v>
      </c>
      <c r="B32" s="14" t="n">
        <f aca="false">Speed!B41</f>
        <v>0.5</v>
      </c>
    </row>
    <row r="34" customFormat="false" ht="15" hidden="false" customHeight="false" outlineLevel="0" collapsed="false">
      <c r="A34" s="11" t="s">
        <v>60</v>
      </c>
    </row>
    <row r="35" customFormat="false" ht="31.5" hidden="false" customHeight="true" outlineLevel="0" collapsed="false">
      <c r="A35" s="3" t="s">
        <v>61</v>
      </c>
      <c r="B35" s="3" t="s">
        <v>62</v>
      </c>
    </row>
    <row r="36" customFormat="false" ht="15" hidden="false" customHeight="false" outlineLevel="0" collapsed="false">
      <c r="A36" s="12" t="s">
        <v>63</v>
      </c>
      <c r="B36" s="14" t="n">
        <f aca="false">'T3 JSON'!C27</f>
        <v>5.98083333333333</v>
      </c>
    </row>
    <row r="37" customFormat="false" ht="15" hidden="false" customHeight="false" outlineLevel="0" collapsed="false">
      <c r="A37" s="12" t="s">
        <v>64</v>
      </c>
      <c r="B37" s="14" t="n">
        <f aca="false">'T3 JSON'!C28</f>
        <v>0.442888888888889</v>
      </c>
    </row>
    <row r="39" customFormat="false" ht="15" hidden="false" customHeight="false" outlineLevel="0" collapsed="false">
      <c r="A39" s="11" t="s">
        <v>65</v>
      </c>
    </row>
    <row r="40" customFormat="false" ht="31.5" hidden="false" customHeight="true" outlineLevel="0" collapsed="false">
      <c r="A40" s="3" t="s">
        <v>66</v>
      </c>
      <c r="B40" s="3" t="s">
        <v>67</v>
      </c>
    </row>
    <row r="41" customFormat="false" ht="15" hidden="false" customHeight="false" outlineLevel="0" collapsed="false">
      <c r="A41" s="12" t="s">
        <v>68</v>
      </c>
      <c r="B41" s="13" t="n">
        <f aca="false">'T1 Code'!C20</f>
        <v>1</v>
      </c>
    </row>
    <row r="42" customFormat="false" ht="15" hidden="false" customHeight="false" outlineLevel="0" collapsed="false">
      <c r="A42" s="12" t="s">
        <v>69</v>
      </c>
      <c r="B42" s="13" t="n">
        <f aca="false">'T1 Code'!C23</f>
        <v>0.5</v>
      </c>
    </row>
    <row r="43" customFormat="false" ht="15" hidden="false" customHeight="false" outlineLevel="0" collapsed="false">
      <c r="A43" s="12" t="s">
        <v>70</v>
      </c>
      <c r="B43" s="13" t="n">
        <f aca="false">'T1 Code'!C26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56"/>
  </cols>
  <sheetData>
    <row r="1" customFormat="false" ht="16.15" hidden="false" customHeight="false" outlineLevel="0" collapsed="false">
      <c r="A1" s="1" t="s">
        <v>71</v>
      </c>
    </row>
    <row r="3" customFormat="false" ht="31.5" hidden="false" customHeight="true" outlineLevel="0" collapsed="false">
      <c r="A3" s="3" t="s">
        <v>72</v>
      </c>
      <c r="B3" s="3" t="s">
        <v>73</v>
      </c>
      <c r="C3" s="3" t="s">
        <v>74</v>
      </c>
      <c r="D3" s="3" t="s">
        <v>75</v>
      </c>
      <c r="E3" s="3" t="s">
        <v>76</v>
      </c>
    </row>
    <row r="4" customFormat="false" ht="42" hidden="false" customHeight="true" outlineLevel="0" collapsed="false">
      <c r="A4" s="15" t="n">
        <v>1</v>
      </c>
      <c r="B4" s="4" t="s">
        <v>77</v>
      </c>
      <c r="C4" s="4" t="s">
        <v>41</v>
      </c>
      <c r="D4" s="4" t="s">
        <v>78</v>
      </c>
      <c r="E4" s="4" t="s">
        <v>79</v>
      </c>
    </row>
    <row r="5" customFormat="false" ht="42" hidden="false" customHeight="true" outlineLevel="0" collapsed="false">
      <c r="A5" s="15" t="n">
        <v>2</v>
      </c>
      <c r="B5" s="4" t="s">
        <v>80</v>
      </c>
      <c r="C5" s="4" t="s">
        <v>41</v>
      </c>
      <c r="D5" s="4" t="s">
        <v>81</v>
      </c>
      <c r="E5" s="4" t="s">
        <v>82</v>
      </c>
    </row>
    <row r="6" customFormat="false" ht="42" hidden="false" customHeight="true" outlineLevel="0" collapsed="false">
      <c r="A6" s="15" t="n">
        <v>3</v>
      </c>
      <c r="B6" s="4" t="s">
        <v>83</v>
      </c>
      <c r="C6" s="4" t="s">
        <v>41</v>
      </c>
      <c r="D6" s="4" t="s">
        <v>84</v>
      </c>
      <c r="E6" s="4" t="s">
        <v>85</v>
      </c>
    </row>
    <row r="7" customFormat="false" ht="27.75" hidden="false" customHeight="true" outlineLevel="0" collapsed="false">
      <c r="A7" s="15" t="n">
        <v>4</v>
      </c>
      <c r="B7" s="4" t="s">
        <v>86</v>
      </c>
      <c r="C7" s="4" t="s">
        <v>42</v>
      </c>
      <c r="D7" s="4" t="s">
        <v>87</v>
      </c>
      <c r="E7" s="4" t="s">
        <v>88</v>
      </c>
    </row>
    <row r="8" customFormat="false" ht="27.75" hidden="false" customHeight="true" outlineLevel="0" collapsed="false">
      <c r="A8" s="15" t="n">
        <v>5</v>
      </c>
      <c r="B8" s="4" t="s">
        <v>89</v>
      </c>
      <c r="C8" s="4" t="s">
        <v>41</v>
      </c>
      <c r="D8" s="4" t="s">
        <v>90</v>
      </c>
      <c r="E8" s="4" t="s">
        <v>91</v>
      </c>
    </row>
    <row r="9" customFormat="false" ht="42" hidden="false" customHeight="true" outlineLevel="0" collapsed="false">
      <c r="A9" s="15" t="n">
        <v>6</v>
      </c>
      <c r="B9" s="4" t="s">
        <v>92</v>
      </c>
      <c r="C9" s="4" t="s">
        <v>93</v>
      </c>
      <c r="D9" s="4" t="s">
        <v>94</v>
      </c>
      <c r="E9" s="4" t="s">
        <v>95</v>
      </c>
    </row>
    <row r="10" customFormat="false" ht="42" hidden="false" customHeight="true" outlineLevel="0" collapsed="false">
      <c r="A10" s="15" t="n">
        <v>7</v>
      </c>
      <c r="B10" s="4" t="s">
        <v>96</v>
      </c>
      <c r="C10" s="4" t="s">
        <v>93</v>
      </c>
      <c r="D10" s="4" t="s">
        <v>97</v>
      </c>
      <c r="E10" s="4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26"/>
    <col collapsed="false" customWidth="true" hidden="false" outlineLevel="0" max="5" min="5" style="0" width="62"/>
    <col collapsed="false" customWidth="true" hidden="false" outlineLevel="0" max="6" min="6" style="0" width="46"/>
  </cols>
  <sheetData>
    <row r="1" customFormat="false" ht="16.15" hidden="false" customHeight="false" outlineLevel="0" collapsed="false">
      <c r="A1" s="1" t="s">
        <v>99</v>
      </c>
    </row>
    <row r="2" customFormat="false" ht="15" hidden="false" customHeight="false" outlineLevel="0" collapsed="false">
      <c r="A2" s="2" t="s">
        <v>100</v>
      </c>
    </row>
    <row r="3" customFormat="false" ht="31.5" hidden="false" customHeight="true" outlineLevel="0" collapsed="false">
      <c r="A3" s="3" t="s">
        <v>101</v>
      </c>
      <c r="B3" s="3" t="s">
        <v>72</v>
      </c>
      <c r="C3" s="3" t="s">
        <v>102</v>
      </c>
      <c r="D3" s="3" t="s">
        <v>103</v>
      </c>
      <c r="E3" s="3" t="s">
        <v>104</v>
      </c>
      <c r="F3" s="3" t="s">
        <v>105</v>
      </c>
    </row>
    <row r="4" customFormat="false" ht="42" hidden="false" customHeight="true" outlineLevel="0" collapsed="false">
      <c r="A4" s="15" t="n">
        <v>1</v>
      </c>
      <c r="B4" s="4" t="s">
        <v>106</v>
      </c>
      <c r="C4" s="4" t="s">
        <v>107</v>
      </c>
      <c r="D4" s="4" t="s">
        <v>108</v>
      </c>
      <c r="E4" s="4" t="s">
        <v>109</v>
      </c>
      <c r="F4" s="4" t="s">
        <v>110</v>
      </c>
    </row>
    <row r="5" customFormat="false" ht="27.75" hidden="false" customHeight="true" outlineLevel="0" collapsed="false">
      <c r="A5" s="15" t="n">
        <v>2</v>
      </c>
      <c r="B5" s="4" t="s">
        <v>111</v>
      </c>
      <c r="C5" s="4" t="s">
        <v>112</v>
      </c>
      <c r="D5" s="4" t="s">
        <v>113</v>
      </c>
      <c r="E5" s="4" t="s">
        <v>114</v>
      </c>
      <c r="F5" s="4" t="s">
        <v>115</v>
      </c>
    </row>
    <row r="6" customFormat="false" ht="27.75" hidden="false" customHeight="true" outlineLevel="0" collapsed="false">
      <c r="A6" s="15" t="n">
        <v>3</v>
      </c>
      <c r="B6" s="4" t="s">
        <v>111</v>
      </c>
      <c r="C6" s="4" t="s">
        <v>112</v>
      </c>
      <c r="D6" s="4" t="s">
        <v>116</v>
      </c>
      <c r="E6" s="4" t="s">
        <v>117</v>
      </c>
      <c r="F6" s="4" t="s">
        <v>118</v>
      </c>
    </row>
    <row r="7" customFormat="false" ht="27.75" hidden="false" customHeight="true" outlineLevel="0" collapsed="false">
      <c r="A7" s="15" t="n">
        <v>4</v>
      </c>
      <c r="B7" s="4" t="s">
        <v>111</v>
      </c>
      <c r="C7" s="4" t="s">
        <v>119</v>
      </c>
      <c r="D7" s="4" t="s">
        <v>116</v>
      </c>
      <c r="E7" s="4" t="s">
        <v>120</v>
      </c>
      <c r="F7" s="4" t="s">
        <v>121</v>
      </c>
    </row>
    <row r="8" customFormat="false" ht="27.75" hidden="false" customHeight="true" outlineLevel="0" collapsed="false">
      <c r="A8" s="15" t="n">
        <v>5</v>
      </c>
      <c r="B8" s="4" t="s">
        <v>111</v>
      </c>
      <c r="C8" s="4" t="s">
        <v>122</v>
      </c>
      <c r="D8" s="4" t="s">
        <v>116</v>
      </c>
      <c r="E8" s="4" t="s">
        <v>123</v>
      </c>
      <c r="F8" s="4" t="s">
        <v>124</v>
      </c>
    </row>
    <row r="9" customFormat="false" ht="27.75" hidden="false" customHeight="true" outlineLevel="0" collapsed="false">
      <c r="A9" s="15" t="n">
        <v>6</v>
      </c>
      <c r="B9" s="4" t="s">
        <v>111</v>
      </c>
      <c r="C9" s="4" t="s">
        <v>125</v>
      </c>
      <c r="D9" s="4" t="s">
        <v>116</v>
      </c>
      <c r="E9" s="4" t="s">
        <v>126</v>
      </c>
      <c r="F9" s="4" t="s">
        <v>127</v>
      </c>
    </row>
    <row r="10" customFormat="false" ht="27.75" hidden="false" customHeight="true" outlineLevel="0" collapsed="false">
      <c r="A10" s="15" t="n">
        <v>7</v>
      </c>
      <c r="B10" s="4" t="s">
        <v>128</v>
      </c>
      <c r="C10" s="4" t="s">
        <v>119</v>
      </c>
      <c r="D10" s="4" t="s">
        <v>129</v>
      </c>
      <c r="E10" s="4" t="s">
        <v>130</v>
      </c>
      <c r="F10" s="4" t="s">
        <v>131</v>
      </c>
    </row>
    <row r="11" customFormat="false" ht="42" hidden="false" customHeight="true" outlineLevel="0" collapsed="false">
      <c r="A11" s="15" t="n">
        <v>8</v>
      </c>
      <c r="B11" s="4" t="s">
        <v>132</v>
      </c>
      <c r="C11" s="4" t="s">
        <v>133</v>
      </c>
      <c r="D11" s="4" t="s">
        <v>116</v>
      </c>
      <c r="E11" s="4" t="s">
        <v>134</v>
      </c>
      <c r="F11" s="4" t="s">
        <v>135</v>
      </c>
    </row>
    <row r="12" customFormat="false" ht="27.75" hidden="false" customHeight="true" outlineLevel="0" collapsed="false">
      <c r="A12" s="15" t="n">
        <v>9</v>
      </c>
      <c r="B12" s="4" t="s">
        <v>136</v>
      </c>
      <c r="C12" s="4" t="s">
        <v>137</v>
      </c>
      <c r="D12" s="4" t="s">
        <v>41</v>
      </c>
      <c r="E12" s="4" t="s">
        <v>138</v>
      </c>
      <c r="F12" s="4" t="s">
        <v>139</v>
      </c>
    </row>
    <row r="13" customFormat="false" ht="27.75" hidden="false" customHeight="true" outlineLevel="0" collapsed="false">
      <c r="A13" s="15" t="n">
        <v>10</v>
      </c>
      <c r="B13" s="4" t="s">
        <v>136</v>
      </c>
      <c r="C13" s="4" t="s">
        <v>137</v>
      </c>
      <c r="D13" s="4" t="s">
        <v>140</v>
      </c>
      <c r="E13" s="4" t="s">
        <v>141</v>
      </c>
      <c r="F13" s="4" t="s">
        <v>142</v>
      </c>
    </row>
    <row r="14" customFormat="false" ht="42" hidden="false" customHeight="true" outlineLevel="0" collapsed="false">
      <c r="A14" s="15" t="n">
        <v>11</v>
      </c>
      <c r="B14" s="4" t="s">
        <v>136</v>
      </c>
      <c r="C14" s="4" t="s">
        <v>143</v>
      </c>
      <c r="D14" s="4" t="s">
        <v>144</v>
      </c>
      <c r="E14" s="4" t="s">
        <v>145</v>
      </c>
      <c r="F14" s="4" t="s">
        <v>146</v>
      </c>
    </row>
    <row r="15" customFormat="false" ht="27.75" hidden="false" customHeight="true" outlineLevel="0" collapsed="false">
      <c r="A15" s="15" t="n">
        <v>12</v>
      </c>
      <c r="B15" s="4" t="s">
        <v>136</v>
      </c>
      <c r="C15" s="4" t="s">
        <v>147</v>
      </c>
      <c r="D15" s="4" t="s">
        <v>41</v>
      </c>
      <c r="E15" s="4" t="s">
        <v>148</v>
      </c>
      <c r="F15" s="4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11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66"/>
  </cols>
  <sheetData>
    <row r="1" customFormat="false" ht="16.15" hidden="false" customHeight="false" outlineLevel="0" collapsed="false">
      <c r="A1" s="1" t="s">
        <v>150</v>
      </c>
    </row>
    <row r="2" customFormat="false" ht="15" hidden="false" customHeight="false" outlineLevel="0" collapsed="false">
      <c r="A2" s="2" t="s">
        <v>151</v>
      </c>
    </row>
    <row r="4" customFormat="false" ht="31.5" hidden="false" customHeight="true" outlineLevel="0" collapsed="false">
      <c r="A4" s="3" t="s">
        <v>152</v>
      </c>
      <c r="B4" s="3" t="s">
        <v>153</v>
      </c>
      <c r="C4" s="3" t="s">
        <v>154</v>
      </c>
      <c r="D4" s="3" t="s">
        <v>155</v>
      </c>
      <c r="E4" s="3" t="s">
        <v>54</v>
      </c>
      <c r="F4" s="3" t="s">
        <v>156</v>
      </c>
      <c r="G4" s="3" t="s">
        <v>157</v>
      </c>
      <c r="H4" s="3" t="s">
        <v>158</v>
      </c>
    </row>
    <row r="5" customFormat="false" ht="27.75" hidden="false" customHeight="true" outlineLevel="0" collapsed="false">
      <c r="A5" s="15" t="n">
        <v>1</v>
      </c>
      <c r="B5" s="4" t="s">
        <v>159</v>
      </c>
      <c r="C5" s="16" t="s">
        <v>160</v>
      </c>
      <c r="D5" s="17" t="n">
        <v>29.65</v>
      </c>
      <c r="E5" s="18" t="n">
        <v>10.09</v>
      </c>
      <c r="F5" s="19" t="n">
        <v>47</v>
      </c>
      <c r="G5" s="15"/>
      <c r="H5" s="4" t="s">
        <v>161</v>
      </c>
    </row>
    <row r="6" customFormat="false" ht="27.75" hidden="false" customHeight="true" outlineLevel="0" collapsed="false">
      <c r="A6" s="15" t="n">
        <v>2</v>
      </c>
      <c r="B6" s="4" t="s">
        <v>162</v>
      </c>
      <c r="C6" s="16" t="s">
        <v>160</v>
      </c>
      <c r="D6" s="17" t="n">
        <v>36.91</v>
      </c>
      <c r="E6" s="18" t="n">
        <v>9.6</v>
      </c>
      <c r="F6" s="19" t="n">
        <v>382</v>
      </c>
      <c r="G6" s="16" t="s">
        <v>160</v>
      </c>
      <c r="H6" s="4" t="s">
        <v>163</v>
      </c>
    </row>
    <row r="7" customFormat="false" ht="69.75" hidden="false" customHeight="true" outlineLevel="0" collapsed="false">
      <c r="A7" s="15" t="n">
        <v>3</v>
      </c>
      <c r="B7" s="4" t="s">
        <v>164</v>
      </c>
      <c r="C7" s="16" t="s">
        <v>160</v>
      </c>
      <c r="D7" s="17" t="n">
        <v>9.44</v>
      </c>
      <c r="E7" s="18" t="n">
        <v>10.21</v>
      </c>
      <c r="F7" s="19" t="n">
        <v>65</v>
      </c>
      <c r="G7" s="16" t="s">
        <v>165</v>
      </c>
      <c r="H7" s="4" t="s">
        <v>166</v>
      </c>
    </row>
    <row r="8" customFormat="false" ht="18" hidden="false" customHeight="true" outlineLevel="0" collapsed="false">
      <c r="A8" s="15" t="n">
        <v>4</v>
      </c>
      <c r="B8" s="4" t="s">
        <v>167</v>
      </c>
      <c r="C8" s="16" t="s">
        <v>160</v>
      </c>
      <c r="D8" s="17" t="n">
        <v>31.84</v>
      </c>
      <c r="E8" s="18" t="n">
        <v>8.95</v>
      </c>
      <c r="F8" s="19" t="n">
        <v>760</v>
      </c>
      <c r="G8" s="15"/>
      <c r="H8" s="4" t="s">
        <v>168</v>
      </c>
    </row>
    <row r="9" customFormat="false" ht="27.75" hidden="false" customHeight="true" outlineLevel="0" collapsed="false">
      <c r="A9" s="15" t="n">
        <v>5</v>
      </c>
      <c r="B9" s="4" t="s">
        <v>169</v>
      </c>
      <c r="C9" s="16" t="s">
        <v>160</v>
      </c>
      <c r="D9" s="17" t="n">
        <v>51.26</v>
      </c>
      <c r="E9" s="18" t="n">
        <v>8.53</v>
      </c>
      <c r="F9" s="19" t="n">
        <v>1051</v>
      </c>
      <c r="G9" s="16" t="s">
        <v>160</v>
      </c>
      <c r="H9" s="4" t="s">
        <v>170</v>
      </c>
    </row>
    <row r="10" customFormat="false" ht="27.75" hidden="false" customHeight="true" outlineLevel="0" collapsed="false">
      <c r="A10" s="15" t="n">
        <v>6</v>
      </c>
      <c r="B10" s="4" t="s">
        <v>171</v>
      </c>
      <c r="C10" s="16" t="s">
        <v>160</v>
      </c>
      <c r="D10" s="17" t="n">
        <v>77.48</v>
      </c>
      <c r="E10" s="18" t="n">
        <v>7.99</v>
      </c>
      <c r="F10" s="19" t="n">
        <v>1504</v>
      </c>
      <c r="G10" s="15"/>
      <c r="H10" s="4" t="s">
        <v>172</v>
      </c>
    </row>
    <row r="11" customFormat="false" ht="27.75" hidden="false" customHeight="true" outlineLevel="0" collapsed="false">
      <c r="A11" s="15" t="n">
        <v>7</v>
      </c>
      <c r="B11" s="4" t="s">
        <v>173</v>
      </c>
      <c r="C11" s="16" t="s">
        <v>160</v>
      </c>
      <c r="D11" s="17" t="n">
        <v>35.13</v>
      </c>
      <c r="E11" s="18" t="n">
        <v>6.88</v>
      </c>
      <c r="F11" s="19" t="n">
        <v>3008</v>
      </c>
      <c r="G11" s="15"/>
      <c r="H11" s="4" t="s">
        <v>174</v>
      </c>
    </row>
    <row r="12" customFormat="false" ht="27.75" hidden="false" customHeight="true" outlineLevel="0" collapsed="false">
      <c r="A12" s="15" t="n">
        <v>8</v>
      </c>
      <c r="B12" s="4" t="s">
        <v>175</v>
      </c>
      <c r="C12" s="16" t="s">
        <v>160</v>
      </c>
      <c r="D12" s="17" t="n">
        <v>67.34</v>
      </c>
      <c r="E12" s="18" t="n">
        <v>7.44</v>
      </c>
      <c r="F12" s="19" t="n">
        <v>2136</v>
      </c>
      <c r="G12" s="16" t="s">
        <v>160</v>
      </c>
      <c r="H12" s="4" t="s">
        <v>176</v>
      </c>
    </row>
    <row r="13" customFormat="false" ht="18" hidden="false" customHeight="true" outlineLevel="0" collapsed="false">
      <c r="A13" s="15" t="n">
        <v>9</v>
      </c>
      <c r="B13" s="4" t="s">
        <v>177</v>
      </c>
      <c r="C13" s="16" t="s">
        <v>160</v>
      </c>
      <c r="D13" s="17" t="n">
        <v>47.3</v>
      </c>
      <c r="E13" s="18" t="n">
        <v>7.12</v>
      </c>
      <c r="F13" s="19" t="n">
        <v>2647</v>
      </c>
      <c r="G13" s="16" t="s">
        <v>160</v>
      </c>
      <c r="H13" s="4" t="s">
        <v>178</v>
      </c>
    </row>
    <row r="14" customFormat="false" ht="18" hidden="false" customHeight="true" outlineLevel="0" collapsed="false">
      <c r="A14" s="15" t="n">
        <v>10</v>
      </c>
      <c r="B14" s="4" t="s">
        <v>179</v>
      </c>
      <c r="C14" s="16" t="s">
        <v>160</v>
      </c>
      <c r="D14" s="17" t="n">
        <v>44.59</v>
      </c>
      <c r="E14" s="18" t="n">
        <v>6.53</v>
      </c>
      <c r="F14" s="19" t="n">
        <v>3257</v>
      </c>
      <c r="G14" s="15"/>
      <c r="H14" s="4" t="s">
        <v>180</v>
      </c>
    </row>
    <row r="17" customFormat="false" ht="15" hidden="false" customHeight="false" outlineLevel="0" collapsed="false">
      <c r="A17" s="20" t="s">
        <v>181</v>
      </c>
    </row>
    <row r="18" customFormat="false" ht="15" hidden="false" customHeight="false" outlineLevel="0" collapsed="false">
      <c r="A18" s="12" t="s">
        <v>182</v>
      </c>
      <c r="B18" s="12"/>
      <c r="C18" s="21" t="n">
        <f aca="false">COUNTIF(C5:C14,"Pass")+COUNTIF(C5:C14,"Fail")</f>
        <v>10</v>
      </c>
    </row>
    <row r="19" customFormat="false" ht="15" hidden="false" customHeight="false" outlineLevel="0" collapsed="false">
      <c r="A19" s="12" t="s">
        <v>183</v>
      </c>
      <c r="B19" s="12"/>
      <c r="C19" s="21" t="n">
        <f aca="false">COUNTIF(C5:C14,"Pass")</f>
        <v>10</v>
      </c>
    </row>
    <row r="20" customFormat="false" ht="15" hidden="false" customHeight="false" outlineLevel="0" collapsed="false">
      <c r="A20" s="12" t="s">
        <v>184</v>
      </c>
      <c r="B20" s="12"/>
      <c r="C20" s="22" t="n">
        <f aca="false">IFERROR(C19/C18,"")</f>
        <v>1</v>
      </c>
    </row>
    <row r="21" customFormat="false" ht="15" hidden="false" customHeight="false" outlineLevel="0" collapsed="false">
      <c r="A21" s="12" t="s">
        <v>185</v>
      </c>
      <c r="B21" s="12"/>
      <c r="C21" s="23" t="n">
        <v>2</v>
      </c>
    </row>
    <row r="22" customFormat="false" ht="15" hidden="false" customHeight="false" outlineLevel="0" collapsed="false">
      <c r="A22" s="12" t="s">
        <v>186</v>
      </c>
      <c r="B22" s="12"/>
      <c r="C22" s="23" t="n">
        <v>1</v>
      </c>
    </row>
    <row r="23" customFormat="false" ht="15" hidden="false" customHeight="false" outlineLevel="0" collapsed="false">
      <c r="A23" s="12" t="s">
        <v>187</v>
      </c>
      <c r="B23" s="12"/>
      <c r="C23" s="22" t="n">
        <f aca="false">IFERROR(C22/C21,"")</f>
        <v>0.5</v>
      </c>
    </row>
    <row r="24" customFormat="false" ht="15" hidden="false" customHeight="false" outlineLevel="0" collapsed="false">
      <c r="A24" s="12" t="s">
        <v>188</v>
      </c>
      <c r="B24" s="12"/>
      <c r="C24" s="23" t="n">
        <v>4</v>
      </c>
    </row>
    <row r="25" customFormat="false" ht="15" hidden="false" customHeight="false" outlineLevel="0" collapsed="false">
      <c r="A25" s="12" t="s">
        <v>186</v>
      </c>
      <c r="B25" s="12"/>
      <c r="C25" s="23" t="n">
        <v>4</v>
      </c>
    </row>
    <row r="26" customFormat="false" ht="15" hidden="false" customHeight="false" outlineLevel="0" collapsed="false">
      <c r="A26" s="12" t="s">
        <v>187</v>
      </c>
      <c r="B26" s="12"/>
      <c r="C26" s="22" t="n">
        <f aca="false">IFERROR(C25/C24,"")</f>
        <v>1</v>
      </c>
    </row>
    <row r="27" customFormat="false" ht="15" hidden="false" customHeight="false" outlineLevel="0" collapsed="false">
      <c r="A27" s="12" t="s">
        <v>189</v>
      </c>
      <c r="B27" s="12"/>
      <c r="C27" s="24" t="n">
        <f aca="false">AVERAGE(D5:D14)</f>
        <v>43.094</v>
      </c>
    </row>
    <row r="28" customFormat="false" ht="15" hidden="false" customHeight="false" outlineLevel="0" collapsed="false">
      <c r="A28" s="12" t="s">
        <v>190</v>
      </c>
      <c r="B28" s="12"/>
      <c r="C28" s="24" t="n">
        <f aca="false">MAX(D5:D14)</f>
        <v>77.48</v>
      </c>
    </row>
    <row r="29" customFormat="false" ht="15" hidden="false" customHeight="false" outlineLevel="0" collapsed="false">
      <c r="A29" s="12" t="s">
        <v>191</v>
      </c>
      <c r="B29" s="12"/>
      <c r="C29" s="24" t="n">
        <f aca="false">MIN(D5:D14)</f>
        <v>9.44</v>
      </c>
    </row>
  </sheetData>
  <mergeCells count="12"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</mergeCells>
  <conditionalFormatting sqref="C5:C14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"Soft pass"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6" min="6" style="0" width="30"/>
    <col collapsed="false" customWidth="true" hidden="false" outlineLevel="0" max="8" min="7" style="0" width="10"/>
    <col collapsed="false" customWidth="true" hidden="false" outlineLevel="0" max="9" min="9" style="0" width="36"/>
    <col collapsed="false" customWidth="true" hidden="false" outlineLevel="0" max="11" min="10" style="0" width="13"/>
    <col collapsed="false" customWidth="true" hidden="false" outlineLevel="0" max="12" min="12" style="0" width="40"/>
  </cols>
  <sheetData>
    <row r="1" customFormat="false" ht="16.15" hidden="false" customHeight="false" outlineLevel="0" collapsed="false">
      <c r="A1" s="1" t="s">
        <v>192</v>
      </c>
    </row>
    <row r="2" customFormat="false" ht="15" hidden="false" customHeight="false" outlineLevel="0" collapsed="false">
      <c r="A2" s="2" t="s">
        <v>193</v>
      </c>
    </row>
    <row r="4" customFormat="false" ht="31.5" hidden="false" customHeight="true" outlineLevel="0" collapsed="false">
      <c r="A4" s="3" t="s">
        <v>194</v>
      </c>
      <c r="B4" s="3" t="s">
        <v>195</v>
      </c>
      <c r="C4" s="3" t="s">
        <v>196</v>
      </c>
      <c r="D4" s="3" t="s">
        <v>197</v>
      </c>
      <c r="E4" s="3" t="s">
        <v>198</v>
      </c>
      <c r="F4" s="3" t="s">
        <v>199</v>
      </c>
      <c r="G4" s="3" t="s">
        <v>200</v>
      </c>
      <c r="H4" s="3" t="s">
        <v>201</v>
      </c>
      <c r="I4" s="3" t="s">
        <v>202</v>
      </c>
      <c r="J4" s="3" t="s">
        <v>203</v>
      </c>
      <c r="K4" s="3" t="s">
        <v>42</v>
      </c>
      <c r="L4" s="3" t="s">
        <v>204</v>
      </c>
    </row>
    <row r="5" customFormat="false" ht="27.75" hidden="false" customHeight="true" outlineLevel="0" collapsed="false">
      <c r="A5" s="15" t="n">
        <v>1</v>
      </c>
      <c r="B5" s="4" t="s">
        <v>205</v>
      </c>
      <c r="C5" s="15" t="s">
        <v>206</v>
      </c>
      <c r="D5" s="4" t="s">
        <v>207</v>
      </c>
      <c r="E5" s="16" t="s">
        <v>160</v>
      </c>
      <c r="F5" s="4"/>
      <c r="G5" s="16" t="s">
        <v>160</v>
      </c>
      <c r="H5" s="18" t="n">
        <v>2.28</v>
      </c>
      <c r="I5" s="4"/>
      <c r="J5" s="15"/>
      <c r="K5" s="15"/>
      <c r="L5" s="4"/>
    </row>
    <row r="6" customFormat="false" ht="27.75" hidden="false" customHeight="true" outlineLevel="0" collapsed="false">
      <c r="A6" s="15" t="n">
        <v>2</v>
      </c>
      <c r="B6" s="4" t="s">
        <v>208</v>
      </c>
      <c r="C6" s="15" t="s">
        <v>206</v>
      </c>
      <c r="D6" s="4" t="s">
        <v>209</v>
      </c>
      <c r="E6" s="16" t="s">
        <v>160</v>
      </c>
      <c r="F6" s="4"/>
      <c r="G6" s="16" t="s">
        <v>160</v>
      </c>
      <c r="H6" s="18" t="n">
        <v>1.95</v>
      </c>
      <c r="I6" s="4"/>
      <c r="J6" s="15"/>
      <c r="K6" s="15"/>
      <c r="L6" s="4"/>
    </row>
    <row r="7" customFormat="false" ht="27.75" hidden="false" customHeight="true" outlineLevel="0" collapsed="false">
      <c r="A7" s="15" t="n">
        <v>3</v>
      </c>
      <c r="B7" s="4" t="s">
        <v>122</v>
      </c>
      <c r="C7" s="15" t="s">
        <v>206</v>
      </c>
      <c r="D7" s="4" t="s">
        <v>210</v>
      </c>
      <c r="E7" s="16" t="s">
        <v>160</v>
      </c>
      <c r="F7" s="4"/>
      <c r="G7" s="16" t="s">
        <v>211</v>
      </c>
      <c r="H7" s="18" t="n">
        <v>3.3</v>
      </c>
      <c r="I7" s="4" t="s">
        <v>212</v>
      </c>
      <c r="J7" s="15"/>
      <c r="K7" s="15"/>
      <c r="L7" s="4"/>
    </row>
    <row r="8" customFormat="false" ht="27.75" hidden="false" customHeight="true" outlineLevel="0" collapsed="false">
      <c r="A8" s="15" t="n">
        <v>4</v>
      </c>
      <c r="B8" s="4" t="s">
        <v>213</v>
      </c>
      <c r="C8" s="15" t="s">
        <v>206</v>
      </c>
      <c r="D8" s="4" t="s">
        <v>214</v>
      </c>
      <c r="E8" s="16" t="s">
        <v>160</v>
      </c>
      <c r="F8" s="4"/>
      <c r="G8" s="16" t="s">
        <v>160</v>
      </c>
      <c r="H8" s="18" t="n">
        <v>2.9</v>
      </c>
      <c r="I8" s="4"/>
      <c r="J8" s="15"/>
      <c r="K8" s="15"/>
      <c r="L8" s="4"/>
    </row>
    <row r="9" customFormat="false" ht="27.75" hidden="false" customHeight="true" outlineLevel="0" collapsed="false">
      <c r="A9" s="15" t="n">
        <v>5</v>
      </c>
      <c r="B9" s="4" t="s">
        <v>215</v>
      </c>
      <c r="C9" s="15" t="s">
        <v>206</v>
      </c>
      <c r="D9" s="4" t="s">
        <v>216</v>
      </c>
      <c r="E9" s="16" t="s">
        <v>160</v>
      </c>
      <c r="F9" s="4"/>
      <c r="G9" s="16" t="s">
        <v>160</v>
      </c>
      <c r="H9" s="18" t="n">
        <v>4.4</v>
      </c>
      <c r="I9" s="4"/>
      <c r="J9" s="15"/>
      <c r="K9" s="15"/>
      <c r="L9" s="4"/>
    </row>
    <row r="10" customFormat="false" ht="27.75" hidden="false" customHeight="true" outlineLevel="0" collapsed="false">
      <c r="A10" s="15" t="n">
        <v>6</v>
      </c>
      <c r="B10" s="4" t="s">
        <v>217</v>
      </c>
      <c r="C10" s="15" t="s">
        <v>206</v>
      </c>
      <c r="D10" s="4" t="s">
        <v>218</v>
      </c>
      <c r="E10" s="16" t="s">
        <v>160</v>
      </c>
      <c r="F10" s="4"/>
      <c r="G10" s="16" t="s">
        <v>160</v>
      </c>
      <c r="H10" s="18" t="n">
        <v>2.38</v>
      </c>
      <c r="I10" s="4"/>
      <c r="J10" s="15"/>
      <c r="K10" s="15"/>
      <c r="L10" s="4"/>
    </row>
    <row r="11" customFormat="false" ht="42" hidden="false" customHeight="true" outlineLevel="0" collapsed="false">
      <c r="A11" s="15" t="n">
        <v>7</v>
      </c>
      <c r="B11" s="4" t="s">
        <v>125</v>
      </c>
      <c r="C11" s="15" t="s">
        <v>206</v>
      </c>
      <c r="D11" s="4" t="s">
        <v>219</v>
      </c>
      <c r="E11" s="16" t="s">
        <v>160</v>
      </c>
      <c r="F11" s="4"/>
      <c r="G11" s="16" t="s">
        <v>211</v>
      </c>
      <c r="H11" s="18" t="n">
        <v>3.31</v>
      </c>
      <c r="I11" s="4" t="s">
        <v>220</v>
      </c>
      <c r="J11" s="15"/>
      <c r="K11" s="15"/>
      <c r="L11" s="4"/>
    </row>
    <row r="12" customFormat="false" ht="27.75" hidden="false" customHeight="true" outlineLevel="0" collapsed="false">
      <c r="A12" s="15" t="n">
        <v>8</v>
      </c>
      <c r="B12" s="4" t="s">
        <v>221</v>
      </c>
      <c r="C12" s="15" t="s">
        <v>206</v>
      </c>
      <c r="D12" s="4" t="s">
        <v>222</v>
      </c>
      <c r="E12" s="16" t="s">
        <v>160</v>
      </c>
      <c r="F12" s="4"/>
      <c r="G12" s="16" t="s">
        <v>160</v>
      </c>
      <c r="H12" s="18" t="n">
        <v>3.1</v>
      </c>
      <c r="I12" s="4"/>
      <c r="J12" s="15"/>
      <c r="K12" s="15"/>
      <c r="L12" s="4"/>
    </row>
    <row r="13" customFormat="false" ht="55.5" hidden="false" customHeight="true" outlineLevel="0" collapsed="false">
      <c r="A13" s="15" t="n">
        <v>9</v>
      </c>
      <c r="B13" s="4" t="s">
        <v>119</v>
      </c>
      <c r="C13" s="15" t="s">
        <v>223</v>
      </c>
      <c r="D13" s="4" t="s">
        <v>224</v>
      </c>
      <c r="E13" s="16" t="s">
        <v>225</v>
      </c>
      <c r="F13" s="4" t="s">
        <v>226</v>
      </c>
      <c r="G13" s="16" t="s">
        <v>211</v>
      </c>
      <c r="H13" s="18" t="n">
        <v>1.47</v>
      </c>
      <c r="I13" s="4" t="s">
        <v>227</v>
      </c>
      <c r="J13" s="16" t="s">
        <v>160</v>
      </c>
      <c r="K13" s="16" t="s">
        <v>211</v>
      </c>
      <c r="L13" s="4" t="s">
        <v>228</v>
      </c>
    </row>
    <row r="14" customFormat="false" ht="27.75" hidden="false" customHeight="true" outlineLevel="0" collapsed="false">
      <c r="A14" s="15" t="n">
        <v>10</v>
      </c>
      <c r="B14" s="4" t="s">
        <v>112</v>
      </c>
      <c r="C14" s="15" t="s">
        <v>223</v>
      </c>
      <c r="D14" s="4" t="s">
        <v>229</v>
      </c>
      <c r="E14" s="16" t="s">
        <v>211</v>
      </c>
      <c r="F14" s="4" t="s">
        <v>230</v>
      </c>
      <c r="G14" s="16" t="s">
        <v>211</v>
      </c>
      <c r="H14" s="18" t="n">
        <v>3.04</v>
      </c>
      <c r="I14" s="4" t="s">
        <v>231</v>
      </c>
      <c r="J14" s="15"/>
      <c r="K14" s="16" t="s">
        <v>160</v>
      </c>
      <c r="L14" s="4" t="s">
        <v>232</v>
      </c>
    </row>
    <row r="17" customFormat="false" ht="15" hidden="false" customHeight="false" outlineLevel="0" collapsed="false">
      <c r="A17" s="20" t="s">
        <v>181</v>
      </c>
    </row>
    <row r="18" customFormat="false" ht="15" hidden="false" customHeight="false" outlineLevel="0" collapsed="false">
      <c r="A18" s="12" t="s">
        <v>233</v>
      </c>
      <c r="B18" s="12"/>
      <c r="C18" s="21" t="n">
        <f aca="false">COUNTIF(E5:E14,"Pass")</f>
        <v>8</v>
      </c>
    </row>
    <row r="19" customFormat="false" ht="15" hidden="false" customHeight="false" outlineLevel="0" collapsed="false">
      <c r="A19" s="12" t="s">
        <v>234</v>
      </c>
      <c r="B19" s="12"/>
      <c r="C19" s="21" t="n">
        <f aca="false">COUNTIF(E5:E14,"Pass")+COUNTIF(E5:E14,"Soft pass")</f>
        <v>9</v>
      </c>
    </row>
    <row r="20" customFormat="false" ht="15" hidden="false" customHeight="false" outlineLevel="0" collapsed="false">
      <c r="A20" s="12" t="s">
        <v>235</v>
      </c>
      <c r="B20" s="12"/>
      <c r="C20" s="21" t="n">
        <f aca="false">COUNTIF(G5:G14,"Pass")</f>
        <v>6</v>
      </c>
    </row>
    <row r="21" customFormat="false" ht="15" hidden="false" customHeight="false" outlineLevel="0" collapsed="false">
      <c r="A21" s="12" t="s">
        <v>236</v>
      </c>
      <c r="B21" s="12"/>
      <c r="C21" s="22" t="n">
        <f aca="false">(COUNTIFS(C5:C14,"Answerable",E5:E14,"Pass")+COUNTIFS(C5:C14,"Answerable",G5:G14,"Pass"))/(2*COUNTIF(C5:C14,"Answerable"))</f>
        <v>0.875</v>
      </c>
    </row>
    <row r="22" customFormat="false" ht="15" hidden="false" customHeight="false" outlineLevel="0" collapsed="false">
      <c r="A22" s="12" t="s">
        <v>237</v>
      </c>
      <c r="B22" s="12"/>
      <c r="C22" s="21" t="n">
        <f aca="false">COUNTIFS(C5:C14,"Unanswerable",E5:E14,"Fail")+COUNTIFS(C5:C14,"Unanswerable",G5:G14,"Fail")</f>
        <v>3</v>
      </c>
    </row>
    <row r="23" customFormat="false" ht="15" hidden="false" customHeight="false" outlineLevel="0" collapsed="false">
      <c r="A23" s="12" t="s">
        <v>238</v>
      </c>
      <c r="B23" s="12"/>
      <c r="C23" s="21" t="n">
        <f aca="false">2*COUNTIF(C5:C14,"Unanswerable")</f>
        <v>4</v>
      </c>
    </row>
    <row r="24" customFormat="false" ht="15" hidden="false" customHeight="false" outlineLevel="0" collapsed="false">
      <c r="A24" s="12" t="s">
        <v>239</v>
      </c>
      <c r="B24" s="12"/>
      <c r="C24" s="22" t="n">
        <f aca="false">IFERROR(C22/C23,"")</f>
        <v>0.75</v>
      </c>
    </row>
    <row r="25" customFormat="false" ht="15" hidden="false" customHeight="false" outlineLevel="0" collapsed="false">
      <c r="A25" s="12" t="s">
        <v>240</v>
      </c>
      <c r="B25" s="12"/>
      <c r="C25" s="21" t="n">
        <f aca="false">COUNTIFS(C5:C14,"Unanswerable",K5:K14,"Fail")</f>
        <v>1</v>
      </c>
    </row>
    <row r="26" customFormat="false" ht="15" hidden="false" customHeight="false" outlineLevel="0" collapsed="false">
      <c r="A26" s="12" t="s">
        <v>241</v>
      </c>
      <c r="B26" s="12"/>
      <c r="C26" s="21" t="n">
        <f aca="false">COUNTIFS(C5:C14,"Unanswerable",K5:K14,"Pass")+COUNTIFS(C5:C14,"Unanswerable",K5:K14,"Fail")</f>
        <v>2</v>
      </c>
    </row>
    <row r="27" customFormat="false" ht="15" hidden="false" customHeight="false" outlineLevel="0" collapsed="false">
      <c r="A27" s="12" t="s">
        <v>242</v>
      </c>
      <c r="B27" s="12"/>
      <c r="C27" s="22" t="n">
        <f aca="false">IFERROR(C25/C26,"")</f>
        <v>0.5</v>
      </c>
    </row>
    <row r="28" customFormat="false" ht="15" hidden="false" customHeight="false" outlineLevel="0" collapsed="false">
      <c r="A28" s="12" t="s">
        <v>243</v>
      </c>
      <c r="B28" s="12"/>
      <c r="C28" s="25" t="n">
        <f aca="false">AVERAGE(H5:H14)</f>
        <v>2.813</v>
      </c>
    </row>
    <row r="31" customFormat="false" ht="15" hidden="false" customHeight="false" outlineLevel="0" collapsed="false">
      <c r="A31" s="20" t="s">
        <v>244</v>
      </c>
    </row>
    <row r="32" customFormat="false" ht="31.5" hidden="false" customHeight="true" outlineLevel="0" collapsed="false">
      <c r="A32" s="3" t="s">
        <v>101</v>
      </c>
      <c r="B32" s="3" t="s">
        <v>245</v>
      </c>
      <c r="C32" s="3" t="s">
        <v>61</v>
      </c>
      <c r="D32" s="3" t="s">
        <v>75</v>
      </c>
      <c r="E32" s="3" t="s">
        <v>246</v>
      </c>
      <c r="F32" s="3"/>
      <c r="G32" s="3"/>
      <c r="H32" s="3"/>
      <c r="I32" s="3"/>
    </row>
    <row r="33" customFormat="false" ht="33.75" hidden="false" customHeight="true" outlineLevel="0" collapsed="false">
      <c r="A33" s="15" t="n">
        <v>1</v>
      </c>
      <c r="B33" s="4" t="s">
        <v>247</v>
      </c>
      <c r="C33" s="15" t="s">
        <v>41</v>
      </c>
      <c r="D33" s="16" t="s">
        <v>211</v>
      </c>
      <c r="E33" s="4" t="s">
        <v>248</v>
      </c>
      <c r="F33" s="4"/>
      <c r="G33" s="4"/>
      <c r="H33" s="4"/>
      <c r="I33" s="4"/>
    </row>
    <row r="34" customFormat="false" ht="33.75" hidden="false" customHeight="true" outlineLevel="0" collapsed="false">
      <c r="A34" s="15" t="n">
        <v>2</v>
      </c>
      <c r="B34" s="4" t="s">
        <v>249</v>
      </c>
      <c r="C34" s="15" t="s">
        <v>41</v>
      </c>
      <c r="D34" s="16" t="s">
        <v>211</v>
      </c>
      <c r="E34" s="4" t="s">
        <v>250</v>
      </c>
      <c r="F34" s="4"/>
      <c r="G34" s="4"/>
      <c r="H34" s="4"/>
      <c r="I34" s="4"/>
    </row>
    <row r="35" customFormat="false" ht="61.5" hidden="false" customHeight="true" outlineLevel="0" collapsed="false">
      <c r="A35" s="15" t="n">
        <v>3</v>
      </c>
      <c r="B35" s="4" t="s">
        <v>251</v>
      </c>
      <c r="C35" s="15" t="s">
        <v>252</v>
      </c>
      <c r="D35" s="16" t="s">
        <v>211</v>
      </c>
      <c r="E35" s="4" t="s">
        <v>253</v>
      </c>
      <c r="F35" s="4"/>
      <c r="G35" s="4"/>
      <c r="H35" s="4"/>
      <c r="I35" s="4"/>
    </row>
  </sheetData>
  <mergeCells count="15"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E32:I32"/>
    <mergeCell ref="E33:I33"/>
    <mergeCell ref="E34:I34"/>
    <mergeCell ref="E35:I35"/>
  </mergeCells>
  <conditionalFormatting sqref="E5:E14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"Soft pass"</formula>
    </cfRule>
  </conditionalFormatting>
  <conditionalFormatting sqref="G5:G14">
    <cfRule type="cellIs" priority="5" operator="equal" aboveAverage="0" equalAverage="0" bottom="0" percent="0" rank="0" text="" dxfId="0">
      <formula>"Pass"</formula>
    </cfRule>
    <cfRule type="cellIs" priority="6" operator="equal" aboveAverage="0" equalAverage="0" bottom="0" percent="0" rank="0" text="" dxfId="1">
      <formula>"Fail"</formula>
    </cfRule>
    <cfRule type="cellIs" priority="7" operator="equal" aboveAverage="0" equalAverage="0" bottom="0" percent="0" rank="0" text="" dxfId="2">
      <formula>"Soft pass"</formula>
    </cfRule>
  </conditionalFormatting>
  <conditionalFormatting sqref="J5:J14">
    <cfRule type="cellIs" priority="8" operator="equal" aboveAverage="0" equalAverage="0" bottom="0" percent="0" rank="0" text="" dxfId="0">
      <formula>"Pass"</formula>
    </cfRule>
    <cfRule type="cellIs" priority="9" operator="equal" aboveAverage="0" equalAverage="0" bottom="0" percent="0" rank="0" text="" dxfId="1">
      <formula>"Fail"</formula>
    </cfRule>
    <cfRule type="cellIs" priority="10" operator="equal" aboveAverage="0" equalAverage="0" bottom="0" percent="0" rank="0" text="" dxfId="2">
      <formula>"Soft pass"</formula>
    </cfRule>
  </conditionalFormatting>
  <conditionalFormatting sqref="K5:K14">
    <cfRule type="cellIs" priority="11" operator="equal" aboveAverage="0" equalAverage="0" bottom="0" percent="0" rank="0" text="" dxfId="0">
      <formula>"Pass"</formula>
    </cfRule>
    <cfRule type="cellIs" priority="12" operator="equal" aboveAverage="0" equalAverage="0" bottom="0" percent="0" rank="0" text="" dxfId="1">
      <formula>"Fail"</formula>
    </cfRule>
    <cfRule type="cellIs" priority="13" operator="equal" aboveAverage="0" equalAverage="0" bottom="0" percent="0" rank="0" text="" dxfId="2">
      <formula>"Soft pass"</formula>
    </cfRule>
  </conditionalFormatting>
  <conditionalFormatting sqref="D33:D35">
    <cfRule type="cellIs" priority="14" operator="equal" aboveAverage="0" equalAverage="0" bottom="0" percent="0" rank="0" text="" dxfId="0">
      <formula>"Pass"</formula>
    </cfRule>
    <cfRule type="cellIs" priority="15" operator="equal" aboveAverage="0" equalAverage="0" bottom="0" percent="0" rank="0" text="" dxfId="1">
      <formula>"Fail"</formula>
    </cfRule>
    <cfRule type="cellIs" priority="16" operator="equal" aboveAverage="0" equalAverage="0" bottom="0" percent="0" rank="0" text="" dxfId="2">
      <formula>"Soft pass"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40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34"/>
    <col collapsed="false" customWidth="true" hidden="false" outlineLevel="0" max="9" min="8" style="0" width="13"/>
    <col collapsed="false" customWidth="true" hidden="false" outlineLevel="0" max="10" min="10" style="0" width="12"/>
    <col collapsed="false" customWidth="true" hidden="false" outlineLevel="0" max="11" min="11" style="0" width="34"/>
  </cols>
  <sheetData>
    <row r="1" customFormat="false" ht="16.15" hidden="false" customHeight="false" outlineLevel="0" collapsed="false">
      <c r="A1" s="1" t="s">
        <v>254</v>
      </c>
    </row>
    <row r="2" customFormat="false" ht="15" hidden="false" customHeight="false" outlineLevel="0" collapsed="false">
      <c r="A2" s="2" t="s">
        <v>255</v>
      </c>
    </row>
    <row r="4" customFormat="false" ht="31.5" hidden="false" customHeight="true" outlineLevel="0" collapsed="false">
      <c r="A4" s="3" t="s">
        <v>101</v>
      </c>
      <c r="B4" s="3" t="s">
        <v>256</v>
      </c>
      <c r="C4" s="3" t="s">
        <v>197</v>
      </c>
      <c r="D4" s="3" t="s">
        <v>41</v>
      </c>
      <c r="E4" s="3" t="s">
        <v>257</v>
      </c>
      <c r="F4" s="3" t="s">
        <v>258</v>
      </c>
      <c r="G4" s="3" t="s">
        <v>259</v>
      </c>
      <c r="H4" s="3" t="s">
        <v>42</v>
      </c>
      <c r="I4" s="3" t="s">
        <v>260</v>
      </c>
      <c r="J4" s="3" t="s">
        <v>261</v>
      </c>
      <c r="K4" s="3" t="s">
        <v>204</v>
      </c>
    </row>
    <row r="5" customFormat="false" ht="42" hidden="false" customHeight="true" outlineLevel="0" collapsed="false">
      <c r="A5" s="15" t="n">
        <v>1</v>
      </c>
      <c r="B5" s="4" t="s">
        <v>262</v>
      </c>
      <c r="C5" s="4" t="s">
        <v>263</v>
      </c>
      <c r="D5" s="16" t="s">
        <v>160</v>
      </c>
      <c r="E5" s="16" t="n">
        <v>4</v>
      </c>
      <c r="F5" s="18" t="n">
        <v>7.49</v>
      </c>
      <c r="G5" s="4"/>
      <c r="H5" s="16" t="s">
        <v>160</v>
      </c>
      <c r="I5" s="16" t="n">
        <v>4</v>
      </c>
      <c r="J5" s="26"/>
      <c r="K5" s="4"/>
    </row>
    <row r="6" customFormat="false" ht="42" hidden="false" customHeight="true" outlineLevel="0" collapsed="false">
      <c r="A6" s="15" t="n">
        <v>2</v>
      </c>
      <c r="B6" s="4" t="s">
        <v>264</v>
      </c>
      <c r="C6" s="4" t="s">
        <v>265</v>
      </c>
      <c r="D6" s="16" t="s">
        <v>160</v>
      </c>
      <c r="E6" s="16" t="n">
        <v>4</v>
      </c>
      <c r="F6" s="18" t="n">
        <v>5.91</v>
      </c>
      <c r="G6" s="4"/>
      <c r="H6" s="16" t="s">
        <v>160</v>
      </c>
      <c r="I6" s="16" t="n">
        <v>4</v>
      </c>
      <c r="J6" s="27" t="n">
        <v>405</v>
      </c>
      <c r="K6" s="4"/>
    </row>
    <row r="7" customFormat="false" ht="42" hidden="false" customHeight="true" outlineLevel="0" collapsed="false">
      <c r="A7" s="15" t="n">
        <v>3</v>
      </c>
      <c r="B7" s="4" t="s">
        <v>266</v>
      </c>
      <c r="C7" s="4" t="s">
        <v>267</v>
      </c>
      <c r="D7" s="16" t="s">
        <v>160</v>
      </c>
      <c r="E7" s="16" t="n">
        <v>4</v>
      </c>
      <c r="F7" s="18" t="n">
        <v>6.16</v>
      </c>
      <c r="G7" s="4"/>
      <c r="H7" s="16" t="s">
        <v>160</v>
      </c>
      <c r="I7" s="16" t="n">
        <v>4</v>
      </c>
      <c r="J7" s="27" t="n">
        <v>372</v>
      </c>
      <c r="K7" s="4"/>
    </row>
    <row r="8" customFormat="false" ht="42" hidden="false" customHeight="true" outlineLevel="0" collapsed="false">
      <c r="A8" s="15" t="n">
        <v>4</v>
      </c>
      <c r="B8" s="4" t="s">
        <v>268</v>
      </c>
      <c r="C8" s="4" t="s">
        <v>269</v>
      </c>
      <c r="D8" s="16" t="s">
        <v>160</v>
      </c>
      <c r="E8" s="16" t="n">
        <v>4</v>
      </c>
      <c r="F8" s="18" t="n">
        <v>5.34</v>
      </c>
      <c r="G8" s="4"/>
      <c r="H8" s="16" t="s">
        <v>160</v>
      </c>
      <c r="I8" s="16" t="n">
        <v>4</v>
      </c>
      <c r="J8" s="27" t="n">
        <v>279</v>
      </c>
      <c r="K8" s="4"/>
    </row>
    <row r="9" customFormat="false" ht="42" hidden="false" customHeight="true" outlineLevel="0" collapsed="false">
      <c r="A9" s="15" t="n">
        <v>5</v>
      </c>
      <c r="B9" s="4" t="s">
        <v>270</v>
      </c>
      <c r="C9" s="4" t="s">
        <v>271</v>
      </c>
      <c r="D9" s="16" t="s">
        <v>160</v>
      </c>
      <c r="E9" s="16" t="n">
        <v>4</v>
      </c>
      <c r="F9" s="18" t="n">
        <v>7.2</v>
      </c>
      <c r="G9" s="4" t="s">
        <v>272</v>
      </c>
      <c r="H9" s="16" t="s">
        <v>160</v>
      </c>
      <c r="I9" s="16" t="n">
        <v>4</v>
      </c>
      <c r="J9" s="27" t="n">
        <v>334</v>
      </c>
      <c r="K9" s="4"/>
    </row>
    <row r="10" customFormat="false" ht="42" hidden="false" customHeight="true" outlineLevel="0" collapsed="false">
      <c r="A10" s="15" t="n">
        <v>6</v>
      </c>
      <c r="B10" s="4" t="s">
        <v>143</v>
      </c>
      <c r="C10" s="4" t="s">
        <v>273</v>
      </c>
      <c r="D10" s="16" t="s">
        <v>211</v>
      </c>
      <c r="E10" s="16" t="n">
        <v>3</v>
      </c>
      <c r="F10" s="18" t="n">
        <v>6.13</v>
      </c>
      <c r="G10" s="4" t="s">
        <v>274</v>
      </c>
      <c r="H10" s="16" t="s">
        <v>160</v>
      </c>
      <c r="I10" s="16" t="n">
        <v>4</v>
      </c>
      <c r="J10" s="27" t="n">
        <v>727</v>
      </c>
      <c r="K10" s="4" t="s">
        <v>275</v>
      </c>
    </row>
    <row r="11" customFormat="false" ht="42" hidden="false" customHeight="true" outlineLevel="0" collapsed="false">
      <c r="A11" s="15" t="n">
        <v>7</v>
      </c>
      <c r="B11" s="4" t="s">
        <v>276</v>
      </c>
      <c r="C11" s="4" t="s">
        <v>277</v>
      </c>
      <c r="D11" s="16" t="s">
        <v>160</v>
      </c>
      <c r="E11" s="16" t="n">
        <v>4</v>
      </c>
      <c r="F11" s="18" t="n">
        <v>6.14</v>
      </c>
      <c r="G11" s="4" t="s">
        <v>278</v>
      </c>
      <c r="H11" s="16" t="s">
        <v>160</v>
      </c>
      <c r="I11" s="16" t="n">
        <v>4</v>
      </c>
      <c r="J11" s="27" t="n">
        <v>396</v>
      </c>
      <c r="K11" s="4"/>
    </row>
    <row r="12" customFormat="false" ht="42" hidden="false" customHeight="true" outlineLevel="0" collapsed="false">
      <c r="A12" s="15" t="n">
        <v>8</v>
      </c>
      <c r="B12" s="4" t="s">
        <v>279</v>
      </c>
      <c r="C12" s="4" t="s">
        <v>280</v>
      </c>
      <c r="D12" s="16" t="s">
        <v>160</v>
      </c>
      <c r="E12" s="16" t="n">
        <v>4</v>
      </c>
      <c r="F12" s="18" t="n">
        <v>6.2</v>
      </c>
      <c r="G12" s="4"/>
      <c r="H12" s="16" t="s">
        <v>160</v>
      </c>
      <c r="I12" s="16" t="n">
        <v>4</v>
      </c>
      <c r="J12" s="27" t="n">
        <v>421</v>
      </c>
      <c r="K12" s="4"/>
    </row>
    <row r="13" customFormat="false" ht="55.5" hidden="false" customHeight="true" outlineLevel="0" collapsed="false">
      <c r="A13" s="15" t="n">
        <v>9</v>
      </c>
      <c r="B13" s="4" t="s">
        <v>137</v>
      </c>
      <c r="C13" s="4" t="s">
        <v>281</v>
      </c>
      <c r="D13" s="16" t="s">
        <v>211</v>
      </c>
      <c r="E13" s="16" t="n">
        <v>2</v>
      </c>
      <c r="F13" s="18" t="n">
        <v>5.54</v>
      </c>
      <c r="G13" s="4" t="s">
        <v>282</v>
      </c>
      <c r="H13" s="16" t="s">
        <v>160</v>
      </c>
      <c r="I13" s="16" t="n">
        <v>4</v>
      </c>
      <c r="J13" s="27" t="n">
        <v>566</v>
      </c>
      <c r="K13" s="4" t="s">
        <v>283</v>
      </c>
    </row>
    <row r="14" customFormat="false" ht="42" hidden="false" customHeight="true" outlineLevel="0" collapsed="false">
      <c r="A14" s="15" t="n">
        <v>10</v>
      </c>
      <c r="B14" s="4" t="s">
        <v>284</v>
      </c>
      <c r="C14" s="4" t="s">
        <v>285</v>
      </c>
      <c r="D14" s="16" t="s">
        <v>160</v>
      </c>
      <c r="E14" s="16" t="n">
        <v>4</v>
      </c>
      <c r="F14" s="18" t="n">
        <v>4.8</v>
      </c>
      <c r="G14" s="4"/>
      <c r="H14" s="16" t="s">
        <v>160</v>
      </c>
      <c r="I14" s="16" t="n">
        <v>4</v>
      </c>
      <c r="J14" s="27" t="n">
        <v>486</v>
      </c>
      <c r="K14" s="4"/>
    </row>
    <row r="17" customFormat="false" ht="15" hidden="false" customHeight="false" outlineLevel="0" collapsed="false">
      <c r="A17" s="20" t="s">
        <v>181</v>
      </c>
    </row>
    <row r="18" customFormat="false" ht="15" hidden="false" customHeight="false" outlineLevel="0" collapsed="false">
      <c r="A18" s="12" t="s">
        <v>286</v>
      </c>
      <c r="B18" s="12"/>
      <c r="C18" s="21" t="n">
        <f aca="false">COUNTIF(D5:D14,"Pass")</f>
        <v>8</v>
      </c>
    </row>
    <row r="19" customFormat="false" ht="15" hidden="false" customHeight="false" outlineLevel="0" collapsed="false">
      <c r="A19" s="12" t="s">
        <v>287</v>
      </c>
      <c r="B19" s="12"/>
      <c r="C19" s="21" t="n">
        <f aca="false">SUM(E5:E14)</f>
        <v>37</v>
      </c>
    </row>
    <row r="20" customFormat="false" ht="15" hidden="false" customHeight="false" outlineLevel="0" collapsed="false">
      <c r="A20" s="12" t="s">
        <v>288</v>
      </c>
      <c r="B20" s="12"/>
      <c r="C20" s="21" t="n">
        <f aca="false">4*COUNTA(B5:B14)</f>
        <v>40</v>
      </c>
    </row>
    <row r="21" customFormat="false" ht="15" hidden="false" customHeight="false" outlineLevel="0" collapsed="false">
      <c r="A21" s="12" t="s">
        <v>289</v>
      </c>
      <c r="B21" s="12"/>
      <c r="C21" s="28" t="n">
        <f aca="false">C19/C20</f>
        <v>0.925</v>
      </c>
    </row>
    <row r="22" customFormat="false" ht="15" hidden="false" customHeight="false" outlineLevel="0" collapsed="false">
      <c r="A22" s="12" t="s">
        <v>290</v>
      </c>
      <c r="B22" s="12"/>
      <c r="C22" s="23" t="n">
        <v>0</v>
      </c>
    </row>
    <row r="23" customFormat="false" ht="15" hidden="false" customHeight="false" outlineLevel="0" collapsed="false">
      <c r="A23" s="12" t="s">
        <v>291</v>
      </c>
      <c r="B23" s="12"/>
      <c r="C23" s="21" t="n">
        <f aca="false">COUNTIF(H5:H14,"Pass")</f>
        <v>10</v>
      </c>
    </row>
    <row r="24" customFormat="false" ht="15" hidden="false" customHeight="false" outlineLevel="0" collapsed="false">
      <c r="A24" s="12" t="s">
        <v>292</v>
      </c>
      <c r="B24" s="12"/>
      <c r="C24" s="21" t="n">
        <f aca="false">SUM(I5:I14)</f>
        <v>40</v>
      </c>
    </row>
    <row r="25" customFormat="false" ht="15" hidden="false" customHeight="false" outlineLevel="0" collapsed="false">
      <c r="A25" s="12" t="s">
        <v>293</v>
      </c>
      <c r="B25" s="12"/>
      <c r="C25" s="28" t="n">
        <f aca="false">C24/C20</f>
        <v>1</v>
      </c>
    </row>
    <row r="26" customFormat="false" ht="15" hidden="false" customHeight="false" outlineLevel="0" collapsed="false">
      <c r="A26" s="12" t="s">
        <v>294</v>
      </c>
      <c r="B26" s="12"/>
      <c r="C26" s="23" t="n">
        <v>10</v>
      </c>
    </row>
    <row r="27" customFormat="false" ht="15" hidden="false" customHeight="false" outlineLevel="0" collapsed="false">
      <c r="A27" s="12" t="s">
        <v>295</v>
      </c>
      <c r="B27" s="12"/>
      <c r="C27" s="25" t="n">
        <f aca="false">AVERAGE(C34:C45)</f>
        <v>5.98083333333333</v>
      </c>
    </row>
    <row r="28" customFormat="false" ht="15" hidden="false" customHeight="false" outlineLevel="0" collapsed="false">
      <c r="A28" s="12" t="s">
        <v>296</v>
      </c>
      <c r="B28" s="12"/>
      <c r="C28" s="25" t="n">
        <f aca="false">AVERAGE(J5:J14)/1000</f>
        <v>0.442888888888889</v>
      </c>
    </row>
    <row r="29" customFormat="false" ht="15" hidden="false" customHeight="false" outlineLevel="0" collapsed="false">
      <c r="A29" s="12" t="s">
        <v>297</v>
      </c>
      <c r="B29" s="12"/>
      <c r="C29" s="29" t="n">
        <f aca="false">C27/C28</f>
        <v>13.5041394882087</v>
      </c>
    </row>
    <row r="32" customFormat="false" ht="15" hidden="false" customHeight="false" outlineLevel="0" collapsed="false">
      <c r="A32" s="20" t="s">
        <v>298</v>
      </c>
    </row>
    <row r="33" customFormat="false" ht="31.5" hidden="false" customHeight="true" outlineLevel="0" collapsed="false">
      <c r="A33" s="3" t="s">
        <v>299</v>
      </c>
      <c r="B33" s="3" t="s">
        <v>256</v>
      </c>
      <c r="C33" s="3" t="s">
        <v>300</v>
      </c>
    </row>
    <row r="34" customFormat="false" ht="15" hidden="false" customHeight="false" outlineLevel="0" collapsed="false">
      <c r="A34" s="30" t="n">
        <v>1</v>
      </c>
      <c r="B34" s="31" t="s">
        <v>301</v>
      </c>
      <c r="C34" s="32" t="n">
        <v>7.49</v>
      </c>
    </row>
    <row r="35" customFormat="false" ht="15" hidden="false" customHeight="false" outlineLevel="0" collapsed="false">
      <c r="A35" s="30" t="n">
        <v>2</v>
      </c>
      <c r="B35" s="31" t="s">
        <v>302</v>
      </c>
      <c r="C35" s="32" t="n">
        <v>5.91</v>
      </c>
    </row>
    <row r="36" customFormat="false" ht="15" hidden="false" customHeight="false" outlineLevel="0" collapsed="false">
      <c r="A36" s="30" t="n">
        <v>3</v>
      </c>
      <c r="B36" s="31" t="s">
        <v>303</v>
      </c>
      <c r="C36" s="32" t="n">
        <v>6.16</v>
      </c>
    </row>
    <row r="37" customFormat="false" ht="15" hidden="false" customHeight="false" outlineLevel="0" collapsed="false">
      <c r="A37" s="30" t="n">
        <v>4</v>
      </c>
      <c r="B37" s="31" t="s">
        <v>304</v>
      </c>
      <c r="C37" s="32" t="n">
        <v>5.34</v>
      </c>
    </row>
    <row r="38" customFormat="false" ht="15" hidden="false" customHeight="false" outlineLevel="0" collapsed="false">
      <c r="A38" s="30" t="n">
        <v>5</v>
      </c>
      <c r="B38" s="31" t="s">
        <v>305</v>
      </c>
      <c r="C38" s="32" t="n">
        <v>7.2</v>
      </c>
    </row>
    <row r="39" customFormat="false" ht="15" hidden="false" customHeight="false" outlineLevel="0" collapsed="false">
      <c r="A39" s="30" t="n">
        <v>6</v>
      </c>
      <c r="B39" s="31" t="s">
        <v>306</v>
      </c>
      <c r="C39" s="32" t="n">
        <v>4.8</v>
      </c>
    </row>
    <row r="40" customFormat="false" ht="15" hidden="false" customHeight="false" outlineLevel="0" collapsed="false">
      <c r="A40" s="30" t="n">
        <v>7</v>
      </c>
      <c r="B40" s="31" t="s">
        <v>307</v>
      </c>
      <c r="C40" s="32" t="n">
        <v>6.13</v>
      </c>
    </row>
    <row r="41" customFormat="false" ht="15" hidden="false" customHeight="false" outlineLevel="0" collapsed="false">
      <c r="A41" s="30" t="n">
        <v>8</v>
      </c>
      <c r="B41" s="31" t="s">
        <v>308</v>
      </c>
      <c r="C41" s="32" t="n">
        <v>6.06</v>
      </c>
    </row>
    <row r="42" customFormat="false" ht="15" hidden="false" customHeight="false" outlineLevel="0" collapsed="false">
      <c r="A42" s="30" t="n">
        <v>9</v>
      </c>
      <c r="B42" s="31" t="s">
        <v>309</v>
      </c>
      <c r="C42" s="32" t="n">
        <v>6.14</v>
      </c>
    </row>
    <row r="43" customFormat="false" ht="15" hidden="false" customHeight="false" outlineLevel="0" collapsed="false">
      <c r="A43" s="30" t="n">
        <v>10</v>
      </c>
      <c r="B43" s="31" t="s">
        <v>310</v>
      </c>
      <c r="C43" s="32" t="n">
        <v>6.2</v>
      </c>
    </row>
    <row r="44" customFormat="false" ht="15" hidden="false" customHeight="false" outlineLevel="0" collapsed="false">
      <c r="A44" s="30" t="n">
        <v>11</v>
      </c>
      <c r="B44" s="31" t="s">
        <v>311</v>
      </c>
      <c r="C44" s="32" t="n">
        <v>5.54</v>
      </c>
    </row>
    <row r="45" customFormat="false" ht="15" hidden="false" customHeight="false" outlineLevel="0" collapsed="false">
      <c r="A45" s="30" t="n">
        <v>12</v>
      </c>
      <c r="B45" s="31" t="s">
        <v>312</v>
      </c>
      <c r="C45" s="32" t="n">
        <v>4.8</v>
      </c>
    </row>
  </sheetData>
  <mergeCells count="12"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</mergeCells>
  <conditionalFormatting sqref="D5:D14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"Soft pass"</formula>
    </cfRule>
  </conditionalFormatting>
  <conditionalFormatting sqref="H5:H14">
    <cfRule type="cellIs" priority="5" operator="equal" aboveAverage="0" equalAverage="0" bottom="0" percent="0" rank="0" text="" dxfId="0">
      <formula>"Pass"</formula>
    </cfRule>
    <cfRule type="cellIs" priority="6" operator="equal" aboveAverage="0" equalAverage="0" bottom="0" percent="0" rank="0" text="" dxfId="1">
      <formula>"Fail"</formula>
    </cfRule>
    <cfRule type="cellIs" priority="7" operator="equal" aboveAverage="0" equalAverage="0" bottom="0" percent="0" rank="0" text="" dxfId="2">
      <formula>"Soft pass"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34"/>
  </cols>
  <sheetData>
    <row r="1" customFormat="false" ht="16.15" hidden="false" customHeight="false" outlineLevel="0" collapsed="false">
      <c r="A1" s="1" t="s">
        <v>313</v>
      </c>
    </row>
    <row r="3" customFormat="false" ht="15" hidden="false" customHeight="false" outlineLevel="0" collapsed="false">
      <c r="A3" s="11" t="s">
        <v>314</v>
      </c>
    </row>
    <row r="4" customFormat="false" ht="31.5" hidden="false" customHeight="true" outlineLevel="0" collapsed="false">
      <c r="A4" s="3" t="s">
        <v>315</v>
      </c>
      <c r="B4" s="3" t="s">
        <v>54</v>
      </c>
      <c r="C4" s="3" t="s">
        <v>156</v>
      </c>
      <c r="D4" s="3" t="s">
        <v>152</v>
      </c>
    </row>
    <row r="5" customFormat="false" ht="15" hidden="false" customHeight="false" outlineLevel="0" collapsed="false">
      <c r="A5" s="33" t="n">
        <v>1</v>
      </c>
      <c r="B5" s="34" t="n">
        <v>10.09</v>
      </c>
      <c r="C5" s="35" t="n">
        <v>47</v>
      </c>
      <c r="D5" s="33" t="n">
        <v>1</v>
      </c>
    </row>
    <row r="6" customFormat="false" ht="15" hidden="false" customHeight="false" outlineLevel="0" collapsed="false">
      <c r="A6" s="33" t="n">
        <v>2</v>
      </c>
      <c r="B6" s="34" t="n">
        <v>9.6</v>
      </c>
      <c r="C6" s="35" t="n">
        <v>382</v>
      </c>
      <c r="D6" s="33" t="n">
        <v>2</v>
      </c>
    </row>
    <row r="7" customFormat="false" ht="15" hidden="false" customHeight="false" outlineLevel="0" collapsed="false">
      <c r="A7" s="33" t="n">
        <v>3</v>
      </c>
      <c r="B7" s="34" t="n">
        <v>8.95</v>
      </c>
      <c r="C7" s="35" t="n">
        <v>760</v>
      </c>
      <c r="D7" s="33" t="n">
        <v>4</v>
      </c>
    </row>
    <row r="8" customFormat="false" ht="15" hidden="false" customHeight="false" outlineLevel="0" collapsed="false">
      <c r="A8" s="33" t="n">
        <v>4</v>
      </c>
      <c r="B8" s="34" t="n">
        <v>8.53</v>
      </c>
      <c r="C8" s="35" t="n">
        <v>1051</v>
      </c>
      <c r="D8" s="33" t="n">
        <v>5</v>
      </c>
    </row>
    <row r="9" customFormat="false" ht="15" hidden="false" customHeight="false" outlineLevel="0" collapsed="false">
      <c r="A9" s="33" t="n">
        <v>5</v>
      </c>
      <c r="B9" s="34" t="n">
        <v>7.99</v>
      </c>
      <c r="C9" s="35" t="n">
        <v>1504</v>
      </c>
      <c r="D9" s="33" t="n">
        <v>6</v>
      </c>
    </row>
    <row r="10" customFormat="false" ht="15" hidden="false" customHeight="false" outlineLevel="0" collapsed="false">
      <c r="A10" s="33" t="n">
        <v>6</v>
      </c>
      <c r="B10" s="34" t="n">
        <v>7.44</v>
      </c>
      <c r="C10" s="35" t="n">
        <v>2136</v>
      </c>
      <c r="D10" s="33" t="n">
        <v>8</v>
      </c>
    </row>
    <row r="11" customFormat="false" ht="15" hidden="false" customHeight="false" outlineLevel="0" collapsed="false">
      <c r="A11" s="33" t="n">
        <v>7</v>
      </c>
      <c r="B11" s="34" t="n">
        <v>7.12</v>
      </c>
      <c r="C11" s="35" t="n">
        <v>2647</v>
      </c>
      <c r="D11" s="33" t="n">
        <v>9</v>
      </c>
    </row>
    <row r="12" customFormat="false" ht="15" hidden="false" customHeight="false" outlineLevel="0" collapsed="false">
      <c r="A12" s="33" t="n">
        <v>8</v>
      </c>
      <c r="B12" s="34" t="n">
        <v>6.88</v>
      </c>
      <c r="C12" s="35" t="n">
        <v>3008</v>
      </c>
      <c r="D12" s="33" t="n">
        <v>7</v>
      </c>
    </row>
    <row r="13" customFormat="false" ht="15" hidden="false" customHeight="false" outlineLevel="0" collapsed="false">
      <c r="A13" s="33" t="n">
        <v>9</v>
      </c>
      <c r="B13" s="34" t="n">
        <v>6.53</v>
      </c>
      <c r="C13" s="35" t="n">
        <v>3257</v>
      </c>
      <c r="D13" s="33" t="n">
        <v>10</v>
      </c>
    </row>
    <row r="15" customFormat="false" ht="15" hidden="false" customHeight="false" outlineLevel="0" collapsed="false">
      <c r="A15" s="11" t="s">
        <v>316</v>
      </c>
      <c r="B15" s="36" t="n">
        <f aca="false">B5</f>
        <v>10.09</v>
      </c>
    </row>
    <row r="16" customFormat="false" ht="15" hidden="false" customHeight="false" outlineLevel="0" collapsed="false">
      <c r="A16" s="11" t="s">
        <v>317</v>
      </c>
      <c r="B16" s="37" t="n">
        <f aca="false">(B5-B13)/B5</f>
        <v>0.352824578790882</v>
      </c>
    </row>
    <row r="17" customFormat="false" ht="15" hidden="false" customHeight="false" outlineLevel="0" collapsed="false">
      <c r="A17" s="11" t="s">
        <v>318</v>
      </c>
      <c r="B17" s="38" t="n">
        <f aca="false">C13/C5</f>
        <v>69.2978723404255</v>
      </c>
    </row>
    <row r="20" customFormat="false" ht="15" hidden="false" customHeight="false" outlineLevel="0" collapsed="false">
      <c r="A20" s="11" t="s">
        <v>319</v>
      </c>
    </row>
    <row r="21" customFormat="false" ht="31.5" hidden="false" customHeight="true" outlineLevel="0" collapsed="false">
      <c r="A21" s="3" t="s">
        <v>320</v>
      </c>
      <c r="B21" s="3" t="s">
        <v>54</v>
      </c>
      <c r="C21" s="3" t="s">
        <v>156</v>
      </c>
      <c r="D21" s="3" t="s">
        <v>321</v>
      </c>
    </row>
    <row r="22" customFormat="false" ht="15" hidden="false" customHeight="false" outlineLevel="0" collapsed="false">
      <c r="A22" s="33" t="s">
        <v>322</v>
      </c>
      <c r="B22" s="34" t="n">
        <v>10.31</v>
      </c>
      <c r="C22" s="33" t="n">
        <v>405</v>
      </c>
      <c r="D22" s="34" t="n">
        <v>2.28</v>
      </c>
    </row>
    <row r="23" customFormat="false" ht="15" hidden="false" customHeight="false" outlineLevel="0" collapsed="false">
      <c r="A23" s="33" t="s">
        <v>323</v>
      </c>
      <c r="B23" s="34" t="n">
        <v>10.56</v>
      </c>
      <c r="C23" s="33" t="n">
        <v>437</v>
      </c>
      <c r="D23" s="34" t="n">
        <v>1.95</v>
      </c>
    </row>
    <row r="24" customFormat="false" ht="15" hidden="false" customHeight="false" outlineLevel="0" collapsed="false">
      <c r="A24" s="33" t="s">
        <v>324</v>
      </c>
      <c r="B24" s="34" t="n">
        <v>9.34</v>
      </c>
      <c r="C24" s="33" t="n">
        <v>472</v>
      </c>
      <c r="D24" s="34" t="n">
        <v>3.3</v>
      </c>
    </row>
    <row r="25" customFormat="false" ht="15" hidden="false" customHeight="false" outlineLevel="0" collapsed="false">
      <c r="A25" s="33" t="s">
        <v>325</v>
      </c>
      <c r="B25" s="34" t="n">
        <v>9.18</v>
      </c>
      <c r="C25" s="33" t="n">
        <v>510</v>
      </c>
      <c r="D25" s="34" t="n">
        <v>2.9</v>
      </c>
    </row>
    <row r="26" customFormat="false" ht="15" hidden="false" customHeight="false" outlineLevel="0" collapsed="false">
      <c r="A26" s="33" t="s">
        <v>326</v>
      </c>
      <c r="B26" s="34" t="n">
        <v>9.3</v>
      </c>
      <c r="C26" s="33" t="n">
        <v>548</v>
      </c>
      <c r="D26" s="34" t="n">
        <v>4.4</v>
      </c>
    </row>
    <row r="27" customFormat="false" ht="15" hidden="false" customHeight="false" outlineLevel="0" collapsed="false">
      <c r="A27" s="33" t="s">
        <v>327</v>
      </c>
      <c r="B27" s="34" t="n">
        <v>9.84</v>
      </c>
      <c r="C27" s="33" t="n">
        <v>596</v>
      </c>
      <c r="D27" s="34" t="n">
        <v>2.38</v>
      </c>
    </row>
    <row r="28" customFormat="false" ht="15" hidden="false" customHeight="false" outlineLevel="0" collapsed="false">
      <c r="A28" s="33" t="s">
        <v>328</v>
      </c>
      <c r="B28" s="34" t="n">
        <v>9.34</v>
      </c>
      <c r="C28" s="33" t="n">
        <v>628</v>
      </c>
      <c r="D28" s="34" t="n">
        <v>3.31</v>
      </c>
    </row>
    <row r="29" customFormat="false" ht="15" hidden="false" customHeight="false" outlineLevel="0" collapsed="false">
      <c r="A29" s="33" t="s">
        <v>329</v>
      </c>
      <c r="B29" s="34" t="n">
        <v>9.57</v>
      </c>
      <c r="C29" s="33" t="n">
        <v>670</v>
      </c>
      <c r="D29" s="34" t="n">
        <v>3.1</v>
      </c>
    </row>
    <row r="30" customFormat="false" ht="15" hidden="false" customHeight="false" outlineLevel="0" collapsed="false">
      <c r="A30" s="33" t="s">
        <v>330</v>
      </c>
      <c r="B30" s="34" t="n">
        <v>9.72</v>
      </c>
      <c r="C30" s="33" t="n">
        <v>705</v>
      </c>
      <c r="D30" s="34" t="n">
        <v>3.04</v>
      </c>
    </row>
    <row r="31" customFormat="false" ht="15" hidden="false" customHeight="false" outlineLevel="0" collapsed="false">
      <c r="A31" s="33" t="s">
        <v>331</v>
      </c>
      <c r="B31" s="34" t="n">
        <v>10.78</v>
      </c>
      <c r="C31" s="33" t="n">
        <v>740</v>
      </c>
      <c r="D31" s="34" t="n">
        <v>1.47</v>
      </c>
    </row>
    <row r="33" customFormat="false" ht="15" hidden="false" customHeight="false" outlineLevel="0" collapsed="false">
      <c r="A33" s="11" t="s">
        <v>332</v>
      </c>
      <c r="B33" s="36" t="n">
        <f aca="false">MIN(B22:B31)</f>
        <v>9.18</v>
      </c>
    </row>
    <row r="34" customFormat="false" ht="15" hidden="false" customHeight="false" outlineLevel="0" collapsed="false">
      <c r="A34" s="11" t="s">
        <v>333</v>
      </c>
      <c r="B34" s="36" t="n">
        <f aca="false">MAX(B22:B31)</f>
        <v>10.78</v>
      </c>
    </row>
    <row r="35" customFormat="false" ht="15" hidden="false" customHeight="false" outlineLevel="0" collapsed="false">
      <c r="A35" s="11" t="s">
        <v>334</v>
      </c>
      <c r="B35" s="39" t="n">
        <v>13.39</v>
      </c>
    </row>
    <row r="36" customFormat="false" ht="15" hidden="false" customHeight="false" outlineLevel="0" collapsed="false">
      <c r="A36" s="11" t="s">
        <v>335</v>
      </c>
      <c r="B36" s="39" t="n">
        <v>10.89</v>
      </c>
    </row>
    <row r="39" customFormat="false" ht="15" hidden="false" customHeight="false" outlineLevel="0" collapsed="false">
      <c r="A39" s="11" t="s">
        <v>336</v>
      </c>
    </row>
    <row r="40" customFormat="false" ht="31.5" hidden="false" customHeight="true" outlineLevel="0" collapsed="false">
      <c r="A40" s="3" t="s">
        <v>56</v>
      </c>
      <c r="B40" s="3" t="s">
        <v>57</v>
      </c>
      <c r="C40" s="3" t="s">
        <v>300</v>
      </c>
      <c r="D40" s="3" t="s">
        <v>75</v>
      </c>
    </row>
    <row r="41" customFormat="false" ht="15" hidden="false" customHeight="false" outlineLevel="0" collapsed="false">
      <c r="A41" s="4" t="s">
        <v>337</v>
      </c>
      <c r="B41" s="33" t="n">
        <v>0.5</v>
      </c>
      <c r="C41" s="33" t="n">
        <v>72</v>
      </c>
      <c r="D41" s="4" t="s">
        <v>338</v>
      </c>
    </row>
    <row r="42" customFormat="false" ht="15" hidden="false" customHeight="false" outlineLevel="0" collapsed="false">
      <c r="A42" s="4" t="s">
        <v>58</v>
      </c>
      <c r="B42" s="33" t="n">
        <v>10.09</v>
      </c>
      <c r="C42" s="33" t="n">
        <v>29.65</v>
      </c>
      <c r="D42" s="4" t="s">
        <v>339</v>
      </c>
    </row>
    <row r="43" customFormat="false" ht="15" hidden="false" customHeight="false" outlineLevel="0" collapsed="false">
      <c r="A43" s="11" t="s">
        <v>340</v>
      </c>
      <c r="B43" s="40" t="n">
        <f aca="false">B42/B41</f>
        <v>20.18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34"/>
    <col collapsed="false" customWidth="true" hidden="false" outlineLevel="0" max="5" min="5" style="0" width="56"/>
  </cols>
  <sheetData>
    <row r="1" customFormat="false" ht="16.15" hidden="false" customHeight="false" outlineLevel="0" collapsed="false">
      <c r="A1" s="1" t="s">
        <v>341</v>
      </c>
    </row>
    <row r="3" customFormat="false" ht="31.5" hidden="false" customHeight="true" outlineLevel="0" collapsed="false">
      <c r="A3" s="3" t="s">
        <v>72</v>
      </c>
      <c r="B3" s="3" t="s">
        <v>342</v>
      </c>
      <c r="C3" s="3" t="s">
        <v>343</v>
      </c>
      <c r="D3" s="3" t="s">
        <v>344</v>
      </c>
      <c r="E3" s="3" t="s">
        <v>345</v>
      </c>
    </row>
    <row r="4" customFormat="false" ht="27.75" hidden="false" customHeight="true" outlineLevel="0" collapsed="false">
      <c r="A4" s="4" t="s">
        <v>106</v>
      </c>
      <c r="B4" s="4" t="s">
        <v>346</v>
      </c>
      <c r="C4" s="4" t="s">
        <v>347</v>
      </c>
      <c r="D4" s="4" t="s">
        <v>348</v>
      </c>
      <c r="E4" s="4" t="s">
        <v>349</v>
      </c>
    </row>
    <row r="5" customFormat="false" ht="27.75" hidden="false" customHeight="true" outlineLevel="0" collapsed="false">
      <c r="A5" s="4" t="s">
        <v>350</v>
      </c>
      <c r="B5" s="4" t="s">
        <v>351</v>
      </c>
      <c r="C5" s="4" t="s">
        <v>352</v>
      </c>
      <c r="D5" s="4" t="s">
        <v>353</v>
      </c>
      <c r="E5" s="4" t="s">
        <v>354</v>
      </c>
    </row>
    <row r="6" customFormat="false" ht="18" hidden="false" customHeight="true" outlineLevel="0" collapsed="false">
      <c r="A6" s="4" t="s">
        <v>355</v>
      </c>
      <c r="B6" s="4" t="s">
        <v>351</v>
      </c>
      <c r="C6" s="4" t="s">
        <v>356</v>
      </c>
      <c r="D6" s="4" t="s">
        <v>357</v>
      </c>
      <c r="E6" s="4" t="s">
        <v>358</v>
      </c>
    </row>
    <row r="7" customFormat="false" ht="18" hidden="false" customHeight="true" outlineLevel="0" collapsed="false">
      <c r="A7" s="4" t="s">
        <v>359</v>
      </c>
      <c r="B7" s="4" t="s">
        <v>360</v>
      </c>
      <c r="C7" s="4" t="s">
        <v>361</v>
      </c>
      <c r="D7" s="4" t="s">
        <v>357</v>
      </c>
      <c r="E7" s="4" t="s">
        <v>362</v>
      </c>
    </row>
    <row r="8" customFormat="false" ht="27.75" hidden="false" customHeight="true" outlineLevel="0" collapsed="false">
      <c r="A8" s="4" t="s">
        <v>363</v>
      </c>
      <c r="B8" s="4" t="s">
        <v>351</v>
      </c>
      <c r="C8" s="4" t="s">
        <v>364</v>
      </c>
      <c r="D8" s="4" t="s">
        <v>365</v>
      </c>
      <c r="E8" s="4" t="s">
        <v>366</v>
      </c>
    </row>
    <row r="9" customFormat="false" ht="27.75" hidden="false" customHeight="true" outlineLevel="0" collapsed="false">
      <c r="A9" s="4" t="s">
        <v>367</v>
      </c>
      <c r="B9" s="4" t="s">
        <v>351</v>
      </c>
      <c r="C9" s="4" t="s">
        <v>368</v>
      </c>
      <c r="D9" s="4" t="s">
        <v>369</v>
      </c>
      <c r="E9" s="4" t="s">
        <v>370</v>
      </c>
    </row>
    <row r="10" customFormat="false" ht="27.75" hidden="false" customHeight="true" outlineLevel="0" collapsed="false">
      <c r="A10" s="4" t="s">
        <v>371</v>
      </c>
      <c r="B10" s="4" t="s">
        <v>360</v>
      </c>
      <c r="C10" s="4" t="s">
        <v>372</v>
      </c>
      <c r="D10" s="4" t="s">
        <v>373</v>
      </c>
      <c r="E10" s="4" t="s">
        <v>374</v>
      </c>
    </row>
    <row r="11" customFormat="false" ht="27.75" hidden="false" customHeight="true" outlineLevel="0" collapsed="false">
      <c r="A11" s="4" t="s">
        <v>375</v>
      </c>
      <c r="B11" s="4" t="s">
        <v>346</v>
      </c>
      <c r="C11" s="4" t="s">
        <v>376</v>
      </c>
      <c r="D11" s="4" t="s">
        <v>377</v>
      </c>
      <c r="E11" s="4" t="s">
        <v>378</v>
      </c>
    </row>
    <row r="12" customFormat="false" ht="27.75" hidden="false" customHeight="true" outlineLevel="0" collapsed="false">
      <c r="A12" s="4" t="s">
        <v>379</v>
      </c>
      <c r="B12" s="4" t="s">
        <v>346</v>
      </c>
      <c r="C12" s="4" t="s">
        <v>380</v>
      </c>
      <c r="D12" s="4" t="s">
        <v>381</v>
      </c>
      <c r="E12" s="4" t="s">
        <v>382</v>
      </c>
    </row>
    <row r="13" customFormat="false" ht="27.75" hidden="false" customHeight="true" outlineLevel="0" collapsed="false">
      <c r="A13" s="4" t="s">
        <v>383</v>
      </c>
      <c r="B13" s="4" t="s">
        <v>384</v>
      </c>
      <c r="C13" s="4" t="s">
        <v>385</v>
      </c>
      <c r="D13" s="4" t="s">
        <v>386</v>
      </c>
      <c r="E13" s="4" t="s">
        <v>387</v>
      </c>
    </row>
    <row r="16" customFormat="false" ht="15" hidden="false" customHeight="false" outlineLevel="0" collapsed="false">
      <c r="A16" s="8" t="s">
        <v>388</v>
      </c>
      <c r="B16" s="9"/>
      <c r="C16" s="9"/>
      <c r="D16" s="9"/>
      <c r="E16" s="9"/>
    </row>
    <row r="17" customFormat="false" ht="18" hidden="false" customHeight="true" outlineLevel="0" collapsed="false">
      <c r="A17" s="10" t="s">
        <v>389</v>
      </c>
      <c r="B17" s="10"/>
      <c r="C17" s="10"/>
      <c r="D17" s="10"/>
      <c r="E17" s="10"/>
    </row>
    <row r="18" customFormat="false" ht="18" hidden="false" customHeight="true" outlineLevel="0" collapsed="false">
      <c r="A18" s="10" t="s">
        <v>390</v>
      </c>
      <c r="B18" s="10"/>
      <c r="C18" s="10"/>
      <c r="D18" s="10"/>
      <c r="E18" s="10"/>
    </row>
    <row r="19" customFormat="false" ht="18" hidden="false" customHeight="true" outlineLevel="0" collapsed="false">
      <c r="A19" s="10" t="s">
        <v>391</v>
      </c>
      <c r="B19" s="10"/>
      <c r="C19" s="10"/>
      <c r="D19" s="10"/>
      <c r="E19" s="10"/>
    </row>
    <row r="20" customFormat="false" ht="18" hidden="false" customHeight="true" outlineLevel="0" collapsed="false">
      <c r="A20" s="10" t="s">
        <v>392</v>
      </c>
      <c r="B20" s="10"/>
      <c r="C20" s="10"/>
      <c r="D20" s="10"/>
      <c r="E20" s="10"/>
    </row>
    <row r="21" customFormat="false" ht="18" hidden="false" customHeight="true" outlineLevel="0" collapsed="false">
      <c r="A21" s="10" t="s">
        <v>393</v>
      </c>
      <c r="B21" s="10"/>
      <c r="C21" s="10"/>
      <c r="D21" s="10"/>
      <c r="E21" s="10"/>
    </row>
    <row r="22" customFormat="false" ht="18" hidden="false" customHeight="true" outlineLevel="0" collapsed="false">
      <c r="A22" s="10" t="s">
        <v>394</v>
      </c>
      <c r="B22" s="10"/>
      <c r="C22" s="10"/>
      <c r="D22" s="10"/>
      <c r="E22" s="10"/>
    </row>
  </sheetData>
  <mergeCells count="6">
    <mergeCell ref="A17:E17"/>
    <mergeCell ref="A18:E18"/>
    <mergeCell ref="A19:E19"/>
    <mergeCell ref="A20:E20"/>
    <mergeCell ref="A21:E21"/>
    <mergeCell ref="A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2026-10-04T14:50:39Z</dcterms:created>
  <dc:creator>openpyxl</dc:creator>
  <dc:description/>
  <dc:language>en-US</dc:language>
  <cp:lastModifiedBy/>
  <dcterms:modified xsi:type="dcterms:W3CDTF">2026-10-04T14:50:43Z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